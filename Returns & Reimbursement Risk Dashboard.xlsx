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9.xml" ContentType="application/vnd.openxmlformats-officedocument.spreadsheetml.table+xml"/>
  <Override PartName="/xl/queryTables/queryTable9.xml" ContentType="application/vnd.openxmlformats-officedocument.spreadsheetml.query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14.xml" ContentType="application/vnd.openxmlformats-officedocument.spreadsheetml.table+xml"/>
  <Override PartName="/xl/queryTables/queryTable1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hidePivotFieldList="1"/>
  <mc:AlternateContent xmlns:mc="http://schemas.openxmlformats.org/markup-compatibility/2006">
    <mc:Choice Requires="x15">
      <x15ac:absPath xmlns:x15ac="http://schemas.microsoft.com/office/spreadsheetml/2010/11/ac" url="C:\Users\india\Desktop\Amazon_returns_Dash\Amazon_Returns_Risk_Analysis\"/>
    </mc:Choice>
  </mc:AlternateContent>
  <xr:revisionPtr revIDLastSave="0" documentId="13_ncr:1_{94007ECD-FC3E-4249-B9BF-48A2303F37BE}" xr6:coauthVersionLast="47" xr6:coauthVersionMax="47" xr10:uidLastSave="{00000000-0000-0000-0000-000000000000}"/>
  <bookViews>
    <workbookView xWindow="-120" yWindow="-120" windowWidth="29040" windowHeight="15840" firstSheet="4" activeTab="11" xr2:uid="{00000000-000D-0000-FFFF-FFFF00000000}"/>
  </bookViews>
  <sheets>
    <sheet name="overview_tab" sheetId="2" state="hidden" r:id="rId1"/>
    <sheet name="kpi_overview " sheetId="19" state="hidden" r:id="rId2"/>
    <sheet name="category_fraud_rate (2)" sheetId="24" state="hidden" r:id="rId3"/>
    <sheet name="category_fraud_impact" sheetId="21" state="hidden" r:id="rId4"/>
    <sheet name="Overview &amp; KPIs" sheetId="6" r:id="rId5"/>
    <sheet name="sla_performance_summary" sheetId="34" state="hidden" r:id="rId6"/>
    <sheet name="refund_time_correlation" sheetId="32" state="hidden" r:id="rId7"/>
    <sheet name="program_sla_summary" sheetId="31" state="hidden" r:id="rId8"/>
    <sheet name="sla_fraud_link" sheetId="33" state="hidden" r:id="rId9"/>
    <sheet name="Operational Efficiency" sheetId="14" r:id="rId10"/>
    <sheet name="trend" sheetId="42" state="hidden" r:id="rId11"/>
    <sheet name="Fraud Distribution Ovw" sheetId="38" r:id="rId12"/>
    <sheet name="seller_fraud_summary" sheetId="47" state="hidden" r:id="rId13"/>
    <sheet name="riskbands_category_hotspots" sheetId="46" state="hidden" r:id="rId14"/>
    <sheet name="market_category_hots" sheetId="45" state="hidden" r:id="rId15"/>
    <sheet name="df_category_fraud_summary" sheetId="48" state="hidden" r:id="rId16"/>
    <sheet name="Pivot_calc" sheetId="23" state="hidden" r:id="rId17"/>
    <sheet name="fII_fraud_rate_append" sheetId="25" state="hidden" r:id="rId18"/>
    <sheet name="Helper_Sheet" sheetId="35" state="hidden" r:id="rId19"/>
  </sheets>
  <definedNames>
    <definedName name="ExternalData_1" localSheetId="3" hidden="1">'category_fraud_impact'!$A$1:$H$43</definedName>
    <definedName name="ExternalData_1" localSheetId="2" hidden="1">'category_fraud_rate (2)'!$A$1:$C$22</definedName>
    <definedName name="ExternalData_1" localSheetId="15" hidden="1">df_category_fraud_summary!$A$1:$D$22</definedName>
    <definedName name="ExternalData_1" localSheetId="1" hidden="1">'kpi_overview '!$A$1:$F$2</definedName>
    <definedName name="ExternalData_1" localSheetId="0" hidden="1">overview_tab!$A$1:$G$2</definedName>
    <definedName name="ExternalData_1" localSheetId="7" hidden="1">program_sla_summary!$A$1:$C$4</definedName>
    <definedName name="ExternalData_2" localSheetId="17" hidden="1">fII_fraud_rate_append!$A$1:$H$64</definedName>
    <definedName name="ExternalData_2" localSheetId="14" hidden="1">market_category_hots!$A$1:$I$99</definedName>
    <definedName name="ExternalData_2" localSheetId="6" hidden="1">'refund_time_correlation'!$A$1:$B$4</definedName>
    <definedName name="ExternalData_3" localSheetId="13" hidden="1">'riskbands_category_hotspots'!$A$1:$G$7</definedName>
    <definedName name="ExternalData_3" localSheetId="8" hidden="1">sla_fraud_link!$A$1:$D$4</definedName>
    <definedName name="ExternalData_4" localSheetId="12" hidden="1">seller_fraud_summary!$A$1:$G$21</definedName>
    <definedName name="ExternalData_4" localSheetId="5" hidden="1">sla_performance_summary!$A$1:$F$7</definedName>
    <definedName name="ExternalData_4" localSheetId="10" hidden="1">trend!$A$1:$I$70</definedName>
    <definedName name="Slicer_category1">#N/A</definedName>
    <definedName name="Slicer_program_type">#N/A</definedName>
  </definedNames>
  <calcPr calcId="191029"/>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s>
  <extLs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0" i="35" l="1"/>
  <c r="H17" i="35"/>
  <c r="H16" i="35"/>
  <c r="B14" i="35"/>
  <c r="N12" i="6" a="1"/>
  <c r="N12" i="6" s="1"/>
  <c r="N11" i="6" a="1"/>
  <c r="N11" i="6" s="1"/>
  <c r="N10" i="6" a="1"/>
  <c r="N10" i="6" s="1"/>
  <c r="N9" i="6" a="1"/>
  <c r="N9" i="6"/>
  <c r="N8" i="6" a="1"/>
  <c r="N8" i="6" s="1"/>
  <c r="N5" i="6" a="1"/>
  <c r="N5" i="6" s="1"/>
  <c r="C60" i="23"/>
  <c r="H33" i="23"/>
  <c r="B33" i="23"/>
  <c r="G109" i="23"/>
  <c r="B108"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5CAE0-9E68-433F-8A97-38EB378800A9}" keepAlive="1" name="Query - category_fraud_impact (2)" description="Connection to the 'category_fraud_impact (2)' query in the workbook." type="5" refreshedVersion="7" background="1" saveData="1">
    <dbPr connection="Provider=Microsoft.Mashup.OleDb.1;Data Source=$Workbook$;Location=&quot;category_fraud_impact (2)&quot;;Extended Properties=&quot;&quot;" command="SELECT * FROM [category_fraud_impact (2)]"/>
  </connection>
  <connection id="2" xr16:uid="{6EE2C6E7-2733-4ECD-816A-F7A5811D3EE0}" keepAlive="1" name="Query - category_fraud_rate" description="Connection to the 'category_fraud_rate' query in the workbook." type="5" refreshedVersion="7" background="1" saveData="1">
    <dbPr connection="Provider=Microsoft.Mashup.OleDb.1;Data Source=$Workbook$;Location=category_fraud_rate;Extended Properties=&quot;&quot;" command="SELECT * FROM [category_fraud_rate]"/>
  </connection>
  <connection id="3" xr16:uid="{A7ED4D22-CF75-43F0-A793-23F9B96730D1}" keepAlive="1" name="Query - df_category_fraud_summary" description="Connection to the 'df_category_fraud_summary' query in the workbook." type="5" refreshedVersion="7" background="1" saveData="1">
    <dbPr connection="Provider=Microsoft.Mashup.OleDb.1;Data Source=$Workbook$;Location=df_category_fraud_summary;Extended Properties=&quot;&quot;" command="SELECT * FROM [df_category_fraud_summary]"/>
  </connection>
  <connection id="4" xr16:uid="{FA42F7C1-B73C-46C6-9098-67848045C1A8}" keepAlive="1" name="Query - fII_fraud_rate_append" description="Connection to the 'fII_fraud_rate_append' query in the workbook." type="5" refreshedVersion="7" background="1" saveData="1">
    <dbPr connection="Provider=Microsoft.Mashup.OleDb.1;Data Source=$Workbook$;Location=fII_fraud_rate_append;Extended Properties=&quot;&quot;" command="SELECT * FROM [fII_fraud_rate_append]"/>
  </connection>
  <connection id="5" xr16:uid="{0ADC2379-56D0-4EC9-B3FE-6F904CE7ED73}" keepAlive="1" name="Query - kpi_overview (2)" description="Connection to the 'kpi_overview (2)' query in the workbook." type="5" refreshedVersion="7" background="1" saveData="1">
    <dbPr connection="Provider=Microsoft.Mashup.OleDb.1;Data Source=$Workbook$;Location=&quot;kpi_overview (2)&quot;;Extended Properties=&quot;&quot;" command="SELECT * FROM [kpi_overview (2)]"/>
  </connection>
  <connection id="6" xr16:uid="{6315933D-4B18-4C06-9BAF-3E2A0DAAD2FA}" keepAlive="1" name="Query - market_category_hots" description="Connection to the 'market_category_hots' query in the workbook." type="5" refreshedVersion="7" background="1" saveData="1">
    <dbPr connection="Provider=Microsoft.Mashup.OleDb.1;Data Source=$Workbook$;Location=market_category_hots;Extended Properties=&quot;&quot;" command="SELECT * FROM [market_category_hots]"/>
  </connection>
  <connection id="7" xr16:uid="{98805939-F63D-4769-97C7-9DB15A4F17FD}" keepAlive="1" name="Query - overview" description="Connection to the 'overview' query in the workbook." type="5" refreshedVersion="7" background="1" saveData="1">
    <dbPr connection="Provider=Microsoft.Mashup.OleDb.1;Data Source=$Workbook$;Location=overview;Extended Properties=&quot;&quot;" command="SELECT * FROM [overview]"/>
  </connection>
  <connection id="8" xr16:uid="{FAB131AA-E5A2-4163-A7CA-A10397725030}" keepAlive="1" name="Query - program_sla_summary" description="Connection to the 'program_sla_summary' query in the workbook." type="5" refreshedVersion="7" background="1" saveData="1">
    <dbPr connection="Provider=Microsoft.Mashup.OleDb.1;Data Source=$Workbook$;Location=program_sla_summary;Extended Properties=&quot;&quot;" command="SELECT * FROM [program_sla_summary]"/>
  </connection>
  <connection id="9" xr16:uid="{FB32A370-FA97-446D-B1EA-A5DB316228B1}" keepAlive="1" name="Query - refund_time_correlation" description="Connection to the 'refund_time_correlation' query in the workbook." type="5" refreshedVersion="7" background="1" saveData="1">
    <dbPr connection="Provider=Microsoft.Mashup.OleDb.1;Data Source=$Workbook$;Location=refund_time_correlation;Extended Properties=&quot;&quot;" command="SELECT * FROM [refund_time_correlation]"/>
  </connection>
  <connection id="10" xr16:uid="{04C2A721-962C-43CC-9CE8-C220396CC671}" keepAlive="1" name="Query - riskbands_category_hotspots" description="Connection to the 'riskbands_category_hotspots' query in the workbook." type="5" refreshedVersion="7" background="1" saveData="1">
    <dbPr connection="Provider=Microsoft.Mashup.OleDb.1;Data Source=$Workbook$;Location=riskbands_category_hotspots;Extended Properties=&quot;&quot;" command="SELECT * FROM [riskbands_category_hotspots]"/>
  </connection>
  <connection id="11" xr16:uid="{44C61C4B-3338-4D77-B5BE-7D04B412D65B}" keepAlive="1" name="Query - seller_fraud_summary" description="Connection to the 'seller_fraud_summary' query in the workbook." type="5" refreshedVersion="7" background="1" saveData="1">
    <dbPr connection="Provider=Microsoft.Mashup.OleDb.1;Data Source=$Workbook$;Location=seller_fraud_summary;Extended Properties=&quot;&quot;" command="SELECT * FROM [seller_fraud_summary]"/>
  </connection>
  <connection id="12" xr16:uid="{1733D0A2-259A-4DF5-91CF-6D91459AAB1E}" keepAlive="1" name="Query - sla_fraud_link" description="Connection to the 'sla_fraud_link' query in the workbook." type="5" refreshedVersion="7" background="1" saveData="1">
    <dbPr connection="Provider=Microsoft.Mashup.OleDb.1;Data Source=$Workbook$;Location=sla_fraud_link;Extended Properties=&quot;&quot;" command="SELECT * FROM [sla_fraud_link]"/>
  </connection>
  <connection id="13" xr16:uid="{00BF086B-388F-43DA-A8E7-DCDFEAED8651}" keepAlive="1" name="Query - sla_performance_summary" description="Connection to the 'sla_performance_summary' query in the workbook." type="5" refreshedVersion="7" background="1" saveData="1">
    <dbPr connection="Provider=Microsoft.Mashup.OleDb.1;Data Source=$Workbook$;Location=sla_performance_summary;Extended Properties=&quot;&quot;" command="SELECT * FROM [sla_performance_summary]"/>
  </connection>
  <connection id="14" xr16:uid="{EE133B63-7412-498A-84F7-713DD8A09EA0}" keepAlive="1" name="Query - trend" description="Connection to the 'trend' query in the workbook." type="5" refreshedVersion="7" background="1" saveData="1">
    <dbPr connection="Provider=Microsoft.Mashup.OleDb.1;Data Source=$Workbook$;Location=trend;Extended Properties=&quot;&quot;" command="SELECT * FROM [tren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<sst xmlns="http://schemas.openxmlformats.org/spreadsheetml/2006/main" count="1075" uniqueCount="132">
  <si>
    <t>total_cases</t>
  </si>
  <si>
    <t>unique_sellers</t>
  </si>
  <si>
    <t>unique_buyers</t>
  </si>
  <si>
    <t>programs</t>
  </si>
  <si>
    <t>markets</t>
  </si>
  <si>
    <t>start_date</t>
  </si>
  <si>
    <t>end_date</t>
  </si>
  <si>
    <t>avg_refund</t>
  </si>
  <si>
    <t>fraud_rate_pct</t>
  </si>
  <si>
    <t>avg_fraud_probability</t>
  </si>
  <si>
    <t>avg_handling_time</t>
  </si>
  <si>
    <t>avg_resolution_time_days</t>
  </si>
  <si>
    <t>program_type</t>
  </si>
  <si>
    <t>category</t>
  </si>
  <si>
    <t>fraud_rate</t>
  </si>
  <si>
    <t>SAFE-T</t>
  </si>
  <si>
    <t>Electronics</t>
  </si>
  <si>
    <t>Beauty</t>
  </si>
  <si>
    <t>Misc</t>
  </si>
  <si>
    <t>OTC</t>
  </si>
  <si>
    <t>OP</t>
  </si>
  <si>
    <t>total_fraud_count</t>
  </si>
  <si>
    <t>fraud_impact_index</t>
  </si>
  <si>
    <t>Books</t>
  </si>
  <si>
    <t>Home &amp; Kitchen</t>
  </si>
  <si>
    <t>Apparel</t>
  </si>
  <si>
    <t>Toys</t>
  </si>
  <si>
    <t>Operational and Fraud Insights across Programs &amp; Markets</t>
  </si>
  <si>
    <t>Program × Category Fraud Rate (%)</t>
  </si>
  <si>
    <t>Program</t>
  </si>
  <si>
    <t>Operational Efficiency Dashboard</t>
  </si>
  <si>
    <t>avg_time</t>
  </si>
  <si>
    <t>sla_breach_pct</t>
  </si>
  <si>
    <t>fraud_avg_time</t>
  </si>
  <si>
    <t>market</t>
  </si>
  <si>
    <t>avg_days</t>
  </si>
  <si>
    <t>sla_breach_pct_minutes</t>
  </si>
  <si>
    <t>sla_breach_days_pct</t>
  </si>
  <si>
    <t>EU</t>
  </si>
  <si>
    <t>NAM</t>
  </si>
  <si>
    <t>avg_nam_refund</t>
  </si>
  <si>
    <t>avg_eu_refund</t>
  </si>
  <si>
    <t>Row Labels</t>
  </si>
  <si>
    <t>Grand Total</t>
  </si>
  <si>
    <t>Average of fraud_rate</t>
  </si>
  <si>
    <t>Column Labels</t>
  </si>
  <si>
    <t>Average of fraud_impact_index</t>
  </si>
  <si>
    <t>TAB1 Overview &amp; KPI</t>
  </si>
  <si>
    <t>Tab2 Operation Eff and SLA</t>
  </si>
  <si>
    <t>Helper Cal</t>
  </si>
  <si>
    <t>refund_amount</t>
  </si>
  <si>
    <t xml:space="preserve"> Analyzing SLA Breaches, Handling Time, and Fraud-Time Dynamics across Programs and Markets</t>
  </si>
  <si>
    <t>Average of sla_breach_days_pct</t>
  </si>
  <si>
    <t>Average of sla_breach_pct</t>
  </si>
  <si>
    <t>Fraud Rate %</t>
  </si>
  <si>
    <t>Avg Resolution Time</t>
  </si>
  <si>
    <t>Max of refund_amount</t>
  </si>
  <si>
    <t>Tab3 Operation Eff and SLA</t>
  </si>
  <si>
    <t>FRAUD DISTRIBUTION OVERVIEW</t>
  </si>
  <si>
    <t xml:space="preserve"> Analyzing category- and seller-level fraud trends, financial   exposure, and refund risk distribution across programs &amp;  markets.</t>
  </si>
  <si>
    <t>fraud_refund_share_pct</t>
  </si>
  <si>
    <t>fraud_risk_band</t>
  </si>
  <si>
    <t>Cases</t>
  </si>
  <si>
    <t>Total_refund</t>
  </si>
  <si>
    <t>%_total_refund_exposure</t>
  </si>
  <si>
    <t>Avg_frud_score</t>
  </si>
  <si>
    <t>Low</t>
  </si>
  <si>
    <t>Medium</t>
  </si>
  <si>
    <t>High</t>
  </si>
  <si>
    <t>seller_id</t>
  </si>
  <si>
    <t>FRAUD_RATE</t>
  </si>
  <si>
    <t>TOTAL_AMOUNT</t>
  </si>
  <si>
    <t>TOT_FRAUD_AMT</t>
  </si>
  <si>
    <t>FRAUD_SCORE</t>
  </si>
  <si>
    <t>year_month</t>
  </si>
  <si>
    <t>fraud_cases</t>
  </si>
  <si>
    <t>total_refund</t>
  </si>
  <si>
    <t>fraud_refund</t>
  </si>
  <si>
    <t>fraud_rate_ma3</t>
  </si>
  <si>
    <t>fraud_rate_mom</t>
  </si>
  <si>
    <t>Fraud Rate%</t>
  </si>
  <si>
    <t>2023</t>
  </si>
  <si>
    <t>Jan</t>
  </si>
  <si>
    <t>Feb</t>
  </si>
  <si>
    <t>Mar</t>
  </si>
  <si>
    <t>Apr</t>
  </si>
  <si>
    <t>May</t>
  </si>
  <si>
    <t>Jun</t>
  </si>
  <si>
    <t>Jul</t>
  </si>
  <si>
    <t>Aug</t>
  </si>
  <si>
    <t>Sep</t>
  </si>
  <si>
    <t>Oct</t>
  </si>
  <si>
    <t>Nov</t>
  </si>
  <si>
    <t>Dec</t>
  </si>
  <si>
    <t>2024</t>
  </si>
  <si>
    <t>MOM Fraud Rate</t>
  </si>
  <si>
    <t>claim_type</t>
  </si>
  <si>
    <t>avg_refund_amt</t>
  </si>
  <si>
    <t>total_fraud_refund</t>
  </si>
  <si>
    <t>Counterfeit</t>
  </si>
  <si>
    <t>DNOTR</t>
  </si>
  <si>
    <t>Damaged</t>
  </si>
  <si>
    <t>MattDiff</t>
  </si>
  <si>
    <t>Not As Described</t>
  </si>
  <si>
    <t>RNOTR</t>
  </si>
  <si>
    <t>Wrong Item</t>
  </si>
  <si>
    <t>Avg_refund_value</t>
  </si>
  <si>
    <t>Average of fraud_refund_share_pct</t>
  </si>
  <si>
    <t>Fraud Refund Share % KPI</t>
  </si>
  <si>
    <t xml:space="preserve"> Avg FII KPI</t>
  </si>
  <si>
    <t>Avg Fraud Prob Score across all 3 programs</t>
  </si>
  <si>
    <t>Section 3.1: Fraud Distribution Overview</t>
  </si>
  <si>
    <t>Section 3.2: Fraud Trend Analysis</t>
  </si>
  <si>
    <t>Section 3.3: Fraud Risk Bands</t>
  </si>
  <si>
    <t>Section 3.4: Regional / Category Hotspots</t>
  </si>
  <si>
    <t>Avg Fraud Prob Score</t>
  </si>
  <si>
    <t xml:space="preserve"> Avg Refund Amount</t>
  </si>
  <si>
    <t>Risk Band</t>
  </si>
  <si>
    <t>% Total refund exposure</t>
  </si>
  <si>
    <t>Average Fraud Rate</t>
  </si>
  <si>
    <t>Average Fraud Refund Share %</t>
  </si>
  <si>
    <t>Fraud Rate</t>
  </si>
  <si>
    <t>Fraud Refund Share %</t>
  </si>
  <si>
    <t>Avg Fraud Probability Score</t>
  </si>
  <si>
    <t>Top 10 Fraudulent Sellers</t>
  </si>
  <si>
    <t>% Refund Exposure By Risk Tier</t>
  </si>
  <si>
    <r>
      <t xml:space="preserve">• </t>
    </r>
    <r>
      <rPr>
        <b/>
        <i/>
        <sz val="12"/>
        <color theme="0" tint="-0.499984740745262"/>
        <rFont val="Calibri"/>
        <family val="2"/>
        <scheme val="minor"/>
      </rPr>
      <t>SAFE-T shows the highest SLA breach levels across both EU and NAM (≈25%)</t>
    </r>
    <r>
      <rPr>
        <b/>
        <sz val="12"/>
        <color rgb="FFC00000"/>
        <rFont val="Calibri"/>
        <family val="2"/>
        <scheme val="minor"/>
      </rPr>
      <t>.</t>
    </r>
  </si>
  <si>
    <r>
      <t xml:space="preserve">• </t>
    </r>
    <r>
      <rPr>
        <b/>
        <sz val="12"/>
        <color theme="0" tint="-0.499984740745262"/>
        <rFont val="Calibri"/>
        <family val="2"/>
        <scheme val="minor"/>
      </rPr>
      <t>OTC performs best with low SLA breaches but moderate handling times.</t>
    </r>
  </si>
  <si>
    <r>
      <t>•</t>
    </r>
    <r>
      <rPr>
        <b/>
        <sz val="12"/>
        <color theme="2" tint="-0.749992370372631"/>
        <rFont val="Calibri"/>
        <family val="2"/>
        <scheme val="minor"/>
      </rPr>
      <t xml:space="preserve"> EU generally performs better on SLA (avg breach 20%) compared to NAM (avg 21.4%).</t>
    </r>
  </si>
  <si>
    <t xml:space="preserve"> Returns &amp; Reimbursement Risk Analysis</t>
  </si>
  <si>
    <t>Returns &amp; Reimbursement Risk Dashboard | Updated Oct 2025</t>
  </si>
  <si>
    <t xml:space="preserve"> Returns &amp; Reimbursement Risk Dashboard | Updated Oct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</si>
</sst>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1"/>
      <color theme="1"/>
      <name val="Calibri"/>
      <family val="2"/>
      <scheme val="minor"/>
    </font>
    <font>
      <sz val="11"/>
      <color theme="1"/>
      <name val="Calibri"/>
      <family val="2"/>
      <scheme val="minor"/>
    </font>
    <font>
      <b/>
      <sz val="11"/>
      <color theme="0"/>
      <name val="Calibri"/>
      <family val="2"/>
      <scheme val="minor"/>
    </font>
    <font>
      <b/>
      <sz val="18"/>
      <color theme="1"/>
      <name val="Calibri"/>
      <family val="2"/>
      <scheme val="minor"/>
    </font>
    <font>
      <b/>
      <sz val="16"/>
      <color theme="0"/>
      <name val="Calibri"/>
      <family val="2"/>
      <scheme val="minor"/>
    </font>
    <font>
      <b/>
      <sz val="11"/>
      <color theme="1"/>
      <name val="Corbel"/>
      <family val="2"/>
    </font>
    <font>
      <i/>
      <sz val="11"/>
      <color theme="1"/>
      <name val="Calibri"/>
      <family val="2"/>
      <scheme val="minor"/>
    </font>
    <font>
      <b/>
      <sz val="12"/>
      <color theme="0" tint="-0.499984740745262"/>
      <name val="Calibri"/>
      <family val="2"/>
      <scheme val="minor"/>
    </font>
    <font>
      <b/>
      <sz val="12"/>
      <color rgb="FFC00000"/>
      <name val="Calibri"/>
      <family val="2"/>
      <scheme val="minor"/>
    </font>
    <font>
      <b/>
      <sz val="12"/>
      <color theme="9"/>
      <name val="Calibri"/>
      <family val="2"/>
      <scheme val="minor"/>
    </font>
    <font>
      <b/>
      <sz val="11"/>
      <name val="Calibri"/>
      <family val="2"/>
      <scheme val="minor"/>
    </font>
    <font>
      <sz val="20"/>
      <color theme="1"/>
      <name val="Calibri"/>
      <family val="2"/>
      <scheme val="minor"/>
    </font>
    <font>
      <b/>
      <sz val="11"/>
      <color theme="1"/>
      <name val="Calibri"/>
      <family val="2"/>
      <scheme val="minor"/>
    </font>
    <font>
      <b/>
      <sz val="16"/>
      <color theme="1"/>
      <name val="Calibri"/>
      <family val="2"/>
      <scheme val="minor"/>
    </font>
    <font>
      <b/>
      <i/>
      <sz val="14"/>
      <color theme="1" tint="4.9989318521683403E-2"/>
      <name val="Corbel"/>
      <family val="2"/>
    </font>
    <font>
      <sz val="20"/>
      <color theme="0"/>
      <name val="Calibri"/>
      <family val="2"/>
      <scheme val="minor"/>
    </font>
    <font>
      <b/>
      <i/>
      <sz val="11"/>
      <color theme="2" tint="-0.249977111117893"/>
      <name val="Calibri"/>
      <family val="2"/>
      <scheme val="minor"/>
    </font>
    <font>
      <b/>
      <sz val="12"/>
      <color theme="2" tint="-0.749992370372631"/>
      <name val="Calibri"/>
      <family val="2"/>
      <scheme val="minor"/>
    </font>
    <font>
      <b/>
      <i/>
      <sz val="12"/>
      <color theme="0" tint="-0.499984740745262"/>
      <name val="Calibri"/>
      <family val="2"/>
      <scheme val="minor"/>
    </font>
    <font>
      <b/>
      <i/>
      <sz val="12"/>
      <color theme="2" tint="-0.249977111117893"/>
      <name val="Calibri"/>
      <family val="2"/>
      <scheme val="minor"/>
    </font>
    <font>
      <sz val="10"/>
      <color theme="2" tint="-0.499984740745262"/>
      <name val="Calibri"/>
      <family val="2"/>
      <scheme val="minor"/>
    </font>
    <font>
      <b/>
      <sz val="10"/>
      <color theme="0" tint="-0.499984740745262"/>
      <name val="Calibri"/>
      <family val="2"/>
      <scheme val="minor"/>
    </font>
    <font>
      <i/>
      <sz val="20"/>
      <color theme="0"/>
      <name val="Calibri"/>
      <family val="2"/>
      <scheme val="minor"/>
    </font>
    <font>
      <b/>
      <i/>
      <sz val="20"/>
      <color theme="0"/>
      <name val="Calibri"/>
      <family val="2"/>
      <scheme val="minor"/>
    </font>
  </fonts>
  <fills count="1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theme="0" tint="-0.14999847407452621"/>
        <bgColor theme="4" tint="0.79998168889431442"/>
      </patternFill>
    </fill>
    <fill>
      <patternFill patternType="solid">
        <fgColor theme="7" tint="0.79998168889431442"/>
        <bgColor indexed="64"/>
      </patternFill>
    </fill>
    <fill>
      <patternFill patternType="solid">
        <fgColor theme="5" tint="0.79998168889431442"/>
        <bgColor indexed="64"/>
      </patternFill>
    </fill>
  </fills>
  <borders count="4">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69">
    <xf numFmtId="0" fontId="0" fillId="0" borderId="0" xfId="0"/>
    <xf numFmtId="14" fontId="0" fillId="0" borderId="0" xfId="0" applyNumberFormat="1"/>
    <xf numFmtId="0" fontId="2" fillId="2" borderId="1" xfId="0" applyFont="1" applyFill="1" applyBorder="1"/>
    <xf numFmtId="0" fontId="0" fillId="0" borderId="0" xfId="0" applyAlignment="1">
      <alignment horizontal="center"/>
    </xf>
    <xf numFmtId="0" fontId="0" fillId="0" borderId="0" xfId="0" applyAlignment="1">
      <alignment vertical="center"/>
    </xf>
    <xf numFmtId="0" fontId="0" fillId="5" borderId="0" xfId="0" applyFill="1"/>
    <xf numFmtId="0" fontId="0" fillId="0" borderId="0" xfId="0" applyAlignment="1">
      <alignment horizontal="center" vertical="center"/>
    </xf>
    <xf numFmtId="2" fontId="0" fillId="0" borderId="0" xfId="1" applyNumberFormat="1" applyFont="1"/>
    <xf numFmtId="0" fontId="2" fillId="2" borderId="2" xfId="0" applyFont="1" applyFill="1" applyBorder="1"/>
    <xf numFmtId="0" fontId="0" fillId="3" borderId="1" xfId="0" applyFill="1" applyBorder="1"/>
    <xf numFmtId="0" fontId="0" fillId="0" borderId="1" xfId="0" applyBorder="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6" borderId="0" xfId="0" applyFill="1"/>
    <xf numFmtId="0" fontId="0" fillId="3" borderId="2" xfId="0" applyFill="1" applyBorder="1"/>
    <xf numFmtId="0" fontId="0" fillId="0" borderId="2" xfId="0" applyBorder="1"/>
    <xf numFmtId="0" fontId="10" fillId="0" borderId="0" xfId="0" applyFont="1"/>
    <xf numFmtId="0" fontId="0" fillId="7" borderId="0" xfId="0" applyFill="1"/>
    <xf numFmtId="0" fontId="2" fillId="0" borderId="0" xfId="0" applyFont="1"/>
    <xf numFmtId="0" fontId="6" fillId="0" borderId="0" xfId="0" applyFont="1" applyAlignment="1">
      <alignment horizontal="center"/>
    </xf>
    <xf numFmtId="14" fontId="0" fillId="0" borderId="0" xfId="0" applyNumberFormat="1" applyAlignment="1">
      <alignment horizontal="left" indent="1"/>
    </xf>
    <xf numFmtId="0" fontId="0" fillId="9" borderId="0" xfId="0" applyFill="1"/>
    <xf numFmtId="0" fontId="11" fillId="0" borderId="0" xfId="0" applyFont="1" applyAlignment="1">
      <alignment horizontal="center" vertical="center"/>
    </xf>
    <xf numFmtId="0" fontId="0" fillId="10" borderId="0" xfId="0" applyFill="1"/>
    <xf numFmtId="0" fontId="13" fillId="0" borderId="0" xfId="0" applyFont="1" applyAlignment="1">
      <alignment horizontal="center" vertical="center"/>
    </xf>
    <xf numFmtId="0" fontId="13" fillId="0" borderId="0" xfId="0" applyFont="1" applyAlignment="1">
      <alignment horizontal="center"/>
    </xf>
    <xf numFmtId="2" fontId="0" fillId="0" borderId="0" xfId="0" applyNumberFormat="1" applyAlignment="1">
      <alignment horizontal="center" vertical="center"/>
    </xf>
    <xf numFmtId="0" fontId="13" fillId="5" borderId="0" xfId="0" applyFont="1" applyFill="1" applyAlignment="1">
      <alignment horizontal="center"/>
    </xf>
    <xf numFmtId="0" fontId="11" fillId="5" borderId="0" xfId="0" applyFont="1" applyFill="1" applyAlignment="1">
      <alignment horizontal="center" vertical="center"/>
    </xf>
    <xf numFmtId="0" fontId="6" fillId="5" borderId="0" xfId="0" applyFont="1" applyFill="1" applyAlignment="1">
      <alignment horizontal="center"/>
    </xf>
    <xf numFmtId="0" fontId="13" fillId="5" borderId="0" xfId="0" applyFont="1" applyFill="1" applyAlignment="1">
      <alignment horizontal="center" vertical="center"/>
    </xf>
    <xf numFmtId="0" fontId="0" fillId="0" borderId="0" xfId="0" pivotButton="1" applyAlignment="1">
      <alignment horizontal="center" vertical="center"/>
    </xf>
    <xf numFmtId="0" fontId="0" fillId="12" borderId="0" xfId="0" applyFill="1"/>
    <xf numFmtId="0" fontId="13" fillId="0" borderId="0" xfId="0" applyFont="1"/>
    <xf numFmtId="0" fontId="0" fillId="5" borderId="0" xfId="0" applyFill="1" applyAlignment="1">
      <alignment horizontal="center"/>
    </xf>
    <xf numFmtId="0" fontId="0" fillId="4" borderId="0" xfId="0" applyFill="1"/>
    <xf numFmtId="0" fontId="15" fillId="7" borderId="0" xfId="0" applyFont="1" applyFill="1" applyAlignment="1">
      <alignment horizontal="center"/>
    </xf>
    <xf numFmtId="0" fontId="15" fillId="15" borderId="0" xfId="0" applyFont="1" applyFill="1" applyAlignment="1">
      <alignment horizontal="center" vertical="center"/>
    </xf>
    <xf numFmtId="0" fontId="3" fillId="7" borderId="0" xfId="0" applyFont="1" applyFill="1" applyAlignment="1">
      <alignment horizontal="center" vertical="center"/>
    </xf>
    <xf numFmtId="0" fontId="0" fillId="5" borderId="0" xfId="0" applyFill="1" applyAlignment="1">
      <alignment vertical="center"/>
    </xf>
    <xf numFmtId="0" fontId="0" fillId="14" borderId="0" xfId="0" applyFill="1"/>
    <xf numFmtId="0" fontId="0" fillId="5" borderId="0" xfId="0" applyFill="1" applyAlignment="1">
      <alignment horizontal="center" vertical="center"/>
    </xf>
    <xf numFmtId="0" fontId="0" fillId="17" borderId="0" xfId="0" applyFill="1"/>
    <xf numFmtId="0" fontId="0" fillId="10" borderId="0" xfId="0" applyFill="1" applyAlignment="1">
      <alignment horizontal="center"/>
    </xf>
    <xf numFmtId="0" fontId="4" fillId="10" borderId="0" xfId="0" applyFont="1" applyFill="1" applyAlignment="1">
      <alignment horizontal="center" vertical="center"/>
    </xf>
    <xf numFmtId="0" fontId="5" fillId="16" borderId="3" xfId="0" applyFont="1" applyFill="1" applyBorder="1" applyAlignment="1">
      <alignment horizontal="center"/>
    </xf>
    <xf numFmtId="0" fontId="0" fillId="5" borderId="3" xfId="0" applyFill="1" applyBorder="1" applyAlignment="1">
      <alignment horizontal="center"/>
    </xf>
    <xf numFmtId="0" fontId="20" fillId="5" borderId="0" xfId="0" applyFont="1" applyFill="1" applyAlignment="1">
      <alignment horizontal="center"/>
    </xf>
    <xf numFmtId="0" fontId="12" fillId="7" borderId="0" xfId="0" applyFont="1" applyFill="1" applyAlignment="1">
      <alignment horizontal="center" vertical="center"/>
    </xf>
    <xf numFmtId="0" fontId="0" fillId="10" borderId="0" xfId="0" applyFill="1" applyAlignment="1">
      <alignment horizontal="center"/>
    </xf>
    <xf numFmtId="0" fontId="23" fillId="14" borderId="0" xfId="0" applyFont="1" applyFill="1" applyAlignment="1">
      <alignment horizontal="center" vertical="center"/>
    </xf>
    <xf numFmtId="0" fontId="0" fillId="7" borderId="0" xfId="0" applyFill="1" applyAlignment="1">
      <alignment horizontal="center"/>
    </xf>
    <xf numFmtId="0" fontId="19" fillId="14" borderId="0" xfId="0" applyFont="1" applyFill="1" applyAlignment="1">
      <alignment horizontal="center" vertical="center"/>
    </xf>
    <xf numFmtId="0" fontId="7" fillId="5" borderId="0" xfId="0" applyFont="1" applyFill="1" applyAlignment="1">
      <alignment horizontal="left"/>
    </xf>
    <xf numFmtId="0" fontId="21" fillId="5" borderId="0" xfId="0" applyFont="1" applyFill="1" applyAlignment="1">
      <alignment horizontal="center"/>
    </xf>
    <xf numFmtId="0" fontId="8" fillId="5" borderId="0" xfId="0" applyFont="1" applyFill="1" applyAlignment="1">
      <alignment horizontal="left"/>
    </xf>
    <xf numFmtId="0" fontId="22" fillId="14" borderId="0" xfId="0" applyFont="1" applyFill="1" applyAlignment="1">
      <alignment horizontal="center"/>
    </xf>
    <xf numFmtId="0" fontId="16" fillId="14" borderId="0" xfId="0" applyFont="1" applyFill="1" applyAlignment="1">
      <alignment horizontal="center" vertical="center"/>
    </xf>
    <xf numFmtId="0" fontId="9" fillId="5" borderId="0" xfId="0" applyFont="1" applyFill="1" applyAlignment="1">
      <alignment horizontal="left" vertical="center"/>
    </xf>
    <xf numFmtId="0" fontId="13" fillId="18" borderId="0" xfId="0" applyFont="1" applyFill="1" applyAlignment="1">
      <alignment horizontal="center" vertical="center"/>
    </xf>
    <xf numFmtId="0" fontId="16" fillId="13" borderId="0" xfId="0" applyFont="1" applyFill="1" applyAlignment="1">
      <alignment horizontal="center"/>
    </xf>
    <xf numFmtId="0" fontId="14" fillId="11" borderId="0" xfId="0" applyFont="1" applyFill="1" applyAlignment="1">
      <alignment horizontal="center" vertical="center"/>
    </xf>
    <xf numFmtId="0" fontId="0" fillId="5" borderId="0" xfId="0" applyFill="1" applyAlignment="1">
      <alignment horizontal="center"/>
    </xf>
    <xf numFmtId="0" fontId="13" fillId="5" borderId="0" xfId="0" applyFont="1" applyFill="1" applyAlignment="1">
      <alignment horizontal="center"/>
    </xf>
    <xf numFmtId="0" fontId="23" fillId="13" borderId="0" xfId="0" applyFont="1" applyFill="1" applyAlignment="1">
      <alignment horizontal="center" vertical="center"/>
    </xf>
    <xf numFmtId="0" fontId="0" fillId="8" borderId="0" xfId="0" applyFill="1" applyAlignment="1">
      <alignment horizontal="center"/>
    </xf>
    <xf numFmtId="0" fontId="0" fillId="0" borderId="0" xfId="0" applyAlignment="1">
      <alignment horizontal="center"/>
    </xf>
  </cellXfs>
  <cellStyles count="2">
    <cellStyle name="Normal" xfId="0" builtinId="0"/>
    <cellStyle name="Percent" xfId="1" builtinId="5"/>
  </cellStyles>
  <dxfs count="87">
    <dxf>
      <numFmt numFmtId="0" formatCode="General"/>
    </dxf>
    <dxf>
      <numFmt numFmtId="0" formatCode="General"/>
    </dxf>
    <dxf>
      <numFmt numFmtId="0" formatCode="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164" formatCode="0.000"/>
    </dxf>
    <dxf>
      <numFmt numFmtId="2" formatCode="0.00"/>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164" formatCode="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pivotCacheDefinition" Target="pivotCache/pivotCacheDefinition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microsoft.com/office/2007/relationships/slicerCache" Target="slicerCaches/slicerCache1.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Returns &amp; Reimbursement Risk Dashboard.xlsx]Pivot_calc!PivotTable13</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1" i="1" baseline="0">
                <a:effectLst/>
              </a:rPr>
              <a:t>Fraud Rate% by Program Type</a:t>
            </a:r>
            <a:endParaRPr lang="en-US" sz="18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a:p>
        </c:rich>
      </c:tx>
      <c:layout>
        <c:manualLayout>
          <c:xMode val="edge"/>
          <c:yMode val="edge"/>
          <c:x val="0.22849776668601407"/>
          <c:y val="0.1062591916171844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Pivot_calc!$B$7</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Pivot_calc!$A$8:$A$10</c:f>
              <c:strCache>
                <c:ptCount val="3"/>
                <c:pt idx="0">
                  <c:v>OP</c:v>
                </c:pt>
                <c:pt idx="1">
                  <c:v>OTC</c:v>
                </c:pt>
                <c:pt idx="2">
                  <c:v>SAFE-T</c:v>
                </c:pt>
              </c:strCache>
            </c:strRef>
          </c:cat>
          <c:val>
            <c:numRef>
              <c:f>Pivot_calc!$B$8:$B$10</c:f>
              <c:numCache>
                <c:formatCode>0.000</c:formatCode>
                <c:ptCount val="3"/>
                <c:pt idx="0">
                  <c:v>20.784285714285716</c:v>
                </c:pt>
                <c:pt idx="1">
                  <c:v>28.904761904761898</c:v>
                </c:pt>
                <c:pt idx="2">
                  <c:v>28.953333333333337</c:v>
                </c:pt>
              </c:numCache>
            </c:numRef>
          </c:val>
          <c:extLst>
            <c:ext xmlns:c16="http://schemas.microsoft.com/office/drawing/2014/chart" uri="{C3380CC4-5D6E-409C-BE32-E72D297353CC}">
              <c16:uniqueId val="{00000000-1608-400A-BFAE-1CEA453AE5C7}"/>
            </c:ext>
          </c:extLst>
        </c:ser>
        <c:dLbls>
          <c:showLegendKey val="0"/>
          <c:showVal val="0"/>
          <c:showCatName val="0"/>
          <c:showSerName val="0"/>
          <c:showPercent val="0"/>
          <c:showBubbleSize val="0"/>
        </c:dLbls>
        <c:gapWidth val="219"/>
        <c:overlap val="-27"/>
        <c:axId val="2033974623"/>
        <c:axId val="2033962559"/>
      </c:barChart>
      <c:catAx>
        <c:axId val="203397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62559"/>
        <c:crosses val="autoZero"/>
        <c:auto val="1"/>
        <c:lblAlgn val="ctr"/>
        <c:lblOffset val="100"/>
        <c:noMultiLvlLbl val="0"/>
      </c:catAx>
      <c:valAx>
        <c:axId val="203396255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7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alpha val="9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Returns &amp; Reimbursement Risk Dashboard.xlsx]Pivot_calc!PivotTable14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baseline="0">
                <a:effectLst/>
              </a:rPr>
              <a:t>Average Fraud Impact Index By Program</a:t>
            </a:r>
            <a:endParaRPr lang="en-US">
              <a:effectLst/>
            </a:endParaRPr>
          </a:p>
        </c:rich>
      </c:tx>
      <c:layout>
        <c:manualLayout>
          <c:xMode val="edge"/>
          <c:yMode val="edge"/>
          <c:x val="0.12943100964518539"/>
          <c:y val="0.105713000036170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Pivot_calc!$B$16</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Pivot_calc!$A$17:$A$19</c:f>
              <c:strCache>
                <c:ptCount val="3"/>
                <c:pt idx="0">
                  <c:v>OP</c:v>
                </c:pt>
                <c:pt idx="1">
                  <c:v>OTC</c:v>
                </c:pt>
                <c:pt idx="2">
                  <c:v>SAFE-T</c:v>
                </c:pt>
              </c:strCache>
            </c:strRef>
          </c:cat>
          <c:val>
            <c:numRef>
              <c:f>Pivot_calc!$B$17:$B$19</c:f>
              <c:numCache>
                <c:formatCode>0.00</c:formatCode>
                <c:ptCount val="3"/>
                <c:pt idx="0">
                  <c:v>11.122142857142858</c:v>
                </c:pt>
                <c:pt idx="1">
                  <c:v>17.297857142857143</c:v>
                </c:pt>
                <c:pt idx="2">
                  <c:v>17.458571428571428</c:v>
                </c:pt>
              </c:numCache>
            </c:numRef>
          </c:val>
          <c:extLst>
            <c:ext xmlns:c16="http://schemas.microsoft.com/office/drawing/2014/chart" uri="{C3380CC4-5D6E-409C-BE32-E72D297353CC}">
              <c16:uniqueId val="{00000000-3F39-4EF8-9050-0A96ECC0FF78}"/>
            </c:ext>
          </c:extLst>
        </c:ser>
        <c:dLbls>
          <c:showLegendKey val="0"/>
          <c:showVal val="0"/>
          <c:showCatName val="0"/>
          <c:showSerName val="0"/>
          <c:showPercent val="0"/>
          <c:showBubbleSize val="0"/>
        </c:dLbls>
        <c:gapWidth val="219"/>
        <c:overlap val="-27"/>
        <c:axId val="2033999999"/>
        <c:axId val="2033981279"/>
      </c:barChart>
      <c:catAx>
        <c:axId val="203399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81279"/>
        <c:crosses val="autoZero"/>
        <c:auto val="1"/>
        <c:lblAlgn val="ctr"/>
        <c:lblOffset val="100"/>
        <c:noMultiLvlLbl val="0"/>
      </c:catAx>
      <c:valAx>
        <c:axId val="2033981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9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Returns &amp; Reimbursement Risk Dashboard.xlsx]Pivot_calc!PivotTable19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latin typeface="Corbel" panose="020B0503020204020204" pitchFamily="34" charset="0"/>
              </a:rPr>
              <a:t>SLA Breach % By Program (Minutes)</a:t>
            </a:r>
          </a:p>
        </c:rich>
      </c:tx>
      <c:layout>
        <c:manualLayout>
          <c:xMode val="edge"/>
          <c:yMode val="edge"/>
          <c:x val="7.562599915329303E-2"/>
          <c:y val="0.123945054339311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6482939632549E-2"/>
          <c:y val="0.26328484981044037"/>
          <c:w val="0.81953500840796445"/>
          <c:h val="0.55616633689793016"/>
        </c:manualLayout>
      </c:layout>
      <c:barChart>
        <c:barDir val="col"/>
        <c:grouping val="clustered"/>
        <c:varyColors val="0"/>
        <c:ser>
          <c:idx val="0"/>
          <c:order val="0"/>
          <c:tx>
            <c:strRef>
              <c:f>Pivot_calc!$C$37</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Pivot_calc!$B$38:$B$40</c:f>
              <c:strCache>
                <c:ptCount val="3"/>
                <c:pt idx="0">
                  <c:v>SAFE-T</c:v>
                </c:pt>
                <c:pt idx="1">
                  <c:v>OP</c:v>
                </c:pt>
                <c:pt idx="2">
                  <c:v>OTC</c:v>
                </c:pt>
              </c:strCache>
            </c:strRef>
          </c:cat>
          <c:val>
            <c:numRef>
              <c:f>Pivot_calc!$C$38:$C$40</c:f>
              <c:numCache>
                <c:formatCode>General</c:formatCode>
                <c:ptCount val="3"/>
                <c:pt idx="0">
                  <c:v>26.1</c:v>
                </c:pt>
                <c:pt idx="1">
                  <c:v>22.22</c:v>
                </c:pt>
                <c:pt idx="2">
                  <c:v>6.51</c:v>
                </c:pt>
              </c:numCache>
            </c:numRef>
          </c:val>
          <c:extLst>
            <c:ext xmlns:c16="http://schemas.microsoft.com/office/drawing/2014/chart" uri="{C3380CC4-5D6E-409C-BE32-E72D297353CC}">
              <c16:uniqueId val="{00000000-C2E1-4615-9043-1DC858411935}"/>
            </c:ext>
          </c:extLst>
        </c:ser>
        <c:dLbls>
          <c:showLegendKey val="0"/>
          <c:showVal val="0"/>
          <c:showCatName val="0"/>
          <c:showSerName val="0"/>
          <c:showPercent val="0"/>
          <c:showBubbleSize val="0"/>
        </c:dLbls>
        <c:gapWidth val="219"/>
        <c:overlap val="-27"/>
        <c:axId val="1668036447"/>
        <c:axId val="1668036031"/>
      </c:barChart>
      <c:catAx>
        <c:axId val="166803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036031"/>
        <c:crosses val="autoZero"/>
        <c:auto val="1"/>
        <c:lblAlgn val="ctr"/>
        <c:lblOffset val="100"/>
        <c:noMultiLvlLbl val="0"/>
      </c:catAx>
      <c:valAx>
        <c:axId val="166803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03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Returns &amp; Reimbursement Risk Dashboard.xlsx]Pivot_calc!PivotTable20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baseline="0">
                <a:latin typeface="Corbel" panose="020B0503020204020204" pitchFamily="34" charset="0"/>
              </a:rPr>
              <a:t>Fraud Rate vs SLA Handling Time</a:t>
            </a:r>
            <a:endParaRPr lang="en-US" b="1" i="1">
              <a:latin typeface="Corbel" panose="020B0503020204020204" pitchFamily="34" charset="0"/>
            </a:endParaRPr>
          </a:p>
        </c:rich>
      </c:tx>
      <c:layout>
        <c:manualLayout>
          <c:xMode val="edge"/>
          <c:yMode val="edge"/>
          <c:x val="2.3495221494259786E-2"/>
          <c:y val="0.127317299623261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none"/>
        </c:marker>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79519664905076E-2"/>
          <c:y val="0.26838027065784553"/>
          <c:w val="0.91444861866192417"/>
          <c:h val="0.51187519605147314"/>
        </c:manualLayout>
      </c:layout>
      <c:barChart>
        <c:barDir val="col"/>
        <c:grouping val="clustered"/>
        <c:varyColors val="0"/>
        <c:ser>
          <c:idx val="0"/>
          <c:order val="0"/>
          <c:tx>
            <c:strRef>
              <c:f>Pivot_calc!$C$45</c:f>
              <c:strCache>
                <c:ptCount val="1"/>
                <c:pt idx="0">
                  <c:v>Fraud Rate %</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Pivot_calc!$B$46:$B$48</c:f>
              <c:strCache>
                <c:ptCount val="3"/>
                <c:pt idx="0">
                  <c:v>OP</c:v>
                </c:pt>
                <c:pt idx="1">
                  <c:v>OTC</c:v>
                </c:pt>
                <c:pt idx="2">
                  <c:v>SAFE-T</c:v>
                </c:pt>
              </c:strCache>
            </c:strRef>
          </c:cat>
          <c:val>
            <c:numRef>
              <c:f>Pivot_calc!$C$46:$C$48</c:f>
              <c:numCache>
                <c:formatCode>General</c:formatCode>
                <c:ptCount val="3"/>
                <c:pt idx="0">
                  <c:v>21.6</c:v>
                </c:pt>
                <c:pt idx="1">
                  <c:v>29.92</c:v>
                </c:pt>
                <c:pt idx="2">
                  <c:v>31.01</c:v>
                </c:pt>
              </c:numCache>
            </c:numRef>
          </c:val>
          <c:extLst>
            <c:ext xmlns:c16="http://schemas.microsoft.com/office/drawing/2014/chart" uri="{C3380CC4-5D6E-409C-BE32-E72D297353CC}">
              <c16:uniqueId val="{00000000-848F-4211-B0B9-BE46C6E1F34C}"/>
            </c:ext>
          </c:extLst>
        </c:ser>
        <c:dLbls>
          <c:showLegendKey val="0"/>
          <c:showVal val="1"/>
          <c:showCatName val="0"/>
          <c:showSerName val="0"/>
          <c:showPercent val="0"/>
          <c:showBubbleSize val="0"/>
        </c:dLbls>
        <c:gapWidth val="219"/>
        <c:overlap val="-27"/>
        <c:axId val="1622009855"/>
        <c:axId val="1622002367"/>
      </c:barChart>
      <c:lineChart>
        <c:grouping val="standard"/>
        <c:varyColors val="0"/>
        <c:ser>
          <c:idx val="1"/>
          <c:order val="1"/>
          <c:tx>
            <c:strRef>
              <c:f>Pivot_calc!$D$45</c:f>
              <c:strCache>
                <c:ptCount val="1"/>
                <c:pt idx="0">
                  <c:v>Avg Resolution Time</c:v>
                </c:pt>
              </c:strCache>
            </c:strRef>
          </c:tx>
          <c:spPr>
            <a:ln w="28575" cap="rnd">
              <a:solidFill>
                <a:schemeClr val="accent1">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Pivot_calc!$B$46:$B$48</c:f>
              <c:strCache>
                <c:ptCount val="3"/>
                <c:pt idx="0">
                  <c:v>OP</c:v>
                </c:pt>
                <c:pt idx="1">
                  <c:v>OTC</c:v>
                </c:pt>
                <c:pt idx="2">
                  <c:v>SAFE-T</c:v>
                </c:pt>
              </c:strCache>
            </c:strRef>
          </c:cat>
          <c:val>
            <c:numRef>
              <c:f>Pivot_calc!$D$46:$D$48</c:f>
              <c:numCache>
                <c:formatCode>General</c:formatCode>
                <c:ptCount val="3"/>
                <c:pt idx="0">
                  <c:v>11.44</c:v>
                </c:pt>
                <c:pt idx="1">
                  <c:v>7</c:v>
                </c:pt>
                <c:pt idx="2">
                  <c:v>3.98</c:v>
                </c:pt>
              </c:numCache>
            </c:numRef>
          </c:val>
          <c:smooth val="0"/>
          <c:extLst>
            <c:ext xmlns:c16="http://schemas.microsoft.com/office/drawing/2014/chart" uri="{C3380CC4-5D6E-409C-BE32-E72D297353CC}">
              <c16:uniqueId val="{00000001-848F-4211-B0B9-BE46C6E1F34C}"/>
            </c:ext>
          </c:extLst>
        </c:ser>
        <c:dLbls>
          <c:showLegendKey val="0"/>
          <c:showVal val="1"/>
          <c:showCatName val="0"/>
          <c:showSerName val="0"/>
          <c:showPercent val="0"/>
          <c:showBubbleSize val="0"/>
        </c:dLbls>
        <c:marker val="1"/>
        <c:smooth val="0"/>
        <c:axId val="1622009855"/>
        <c:axId val="1622002367"/>
      </c:lineChart>
      <c:catAx>
        <c:axId val="162200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02367"/>
        <c:crosses val="autoZero"/>
        <c:auto val="1"/>
        <c:lblAlgn val="ctr"/>
        <c:lblOffset val="100"/>
        <c:noMultiLvlLbl val="0"/>
      </c:catAx>
      <c:valAx>
        <c:axId val="162200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09855"/>
        <c:crosses val="autoZero"/>
        <c:crossBetween val="between"/>
      </c:valAx>
      <c:spPr>
        <a:noFill/>
        <a:ln>
          <a:noFill/>
        </a:ln>
        <a:effectLst/>
      </c:spPr>
    </c:plotArea>
    <c:legend>
      <c:legendPos val="b"/>
      <c:layout>
        <c:manualLayout>
          <c:xMode val="edge"/>
          <c:yMode val="edge"/>
          <c:x val="0.49130901465308296"/>
          <c:y val="1.1320317889133189E-2"/>
          <c:w val="0.50178535446837547"/>
          <c:h val="0.14564465376077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Returns &amp; Reimbursement Risk Dashboard.xlsx]Pivot_calc!PivotTable27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orbel" panose="020B0503020204020204" pitchFamily="34" charset="0"/>
              </a:rPr>
              <a:t>Fraud Rate % by Category &amp; Program</a:t>
            </a:r>
          </a:p>
        </c:rich>
      </c:tx>
      <c:layout>
        <c:manualLayout>
          <c:xMode val="edge"/>
          <c:yMode val="edge"/>
          <c:x val="0.25143775800588103"/>
          <c:y val="0.108727880817492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38125098869779E-2"/>
          <c:y val="0.25215546799679739"/>
          <c:w val="0.86701789056241263"/>
          <c:h val="0.59355380577427819"/>
        </c:manualLayout>
      </c:layout>
      <c:barChart>
        <c:barDir val="col"/>
        <c:grouping val="clustered"/>
        <c:varyColors val="0"/>
        <c:ser>
          <c:idx val="0"/>
          <c:order val="0"/>
          <c:tx>
            <c:strRef>
              <c:f>Pivot_calc!$C$69:$C$70</c:f>
              <c:strCache>
                <c:ptCount val="1"/>
                <c:pt idx="0">
                  <c:v>OP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Pivot_calc!$B$71:$B$77</c:f>
              <c:strCache>
                <c:ptCount val="7"/>
                <c:pt idx="0">
                  <c:v>Apparel</c:v>
                </c:pt>
                <c:pt idx="1">
                  <c:v>Beauty</c:v>
                </c:pt>
                <c:pt idx="2">
                  <c:v>Books</c:v>
                </c:pt>
                <c:pt idx="3">
                  <c:v>Electronics</c:v>
                </c:pt>
                <c:pt idx="4">
                  <c:v>Home &amp; Kitchen</c:v>
                </c:pt>
                <c:pt idx="5">
                  <c:v>Misc</c:v>
                </c:pt>
                <c:pt idx="6">
                  <c:v>Toys</c:v>
                </c:pt>
              </c:strCache>
            </c:strRef>
          </c:cat>
          <c:val>
            <c:numRef>
              <c:f>Pivot_calc!$C$71:$C$77</c:f>
              <c:numCache>
                <c:formatCode>General</c:formatCode>
                <c:ptCount val="7"/>
                <c:pt idx="0">
                  <c:v>14.07</c:v>
                </c:pt>
                <c:pt idx="1">
                  <c:v>25.81</c:v>
                </c:pt>
                <c:pt idx="2">
                  <c:v>16.46</c:v>
                </c:pt>
                <c:pt idx="3">
                  <c:v>32.22</c:v>
                </c:pt>
                <c:pt idx="4">
                  <c:v>14.78</c:v>
                </c:pt>
                <c:pt idx="5">
                  <c:v>28.91</c:v>
                </c:pt>
                <c:pt idx="6">
                  <c:v>12.81</c:v>
                </c:pt>
              </c:numCache>
            </c:numRef>
          </c:val>
          <c:extLst>
            <c:ext xmlns:c16="http://schemas.microsoft.com/office/drawing/2014/chart" uri="{C3380CC4-5D6E-409C-BE32-E72D297353CC}">
              <c16:uniqueId val="{00000000-835A-45EC-A62F-B4C9CCE1C281}"/>
            </c:ext>
          </c:extLst>
        </c:ser>
        <c:ser>
          <c:idx val="1"/>
          <c:order val="1"/>
          <c:tx>
            <c:strRef>
              <c:f>Pivot_calc!$D$69:$D$70</c:f>
              <c:strCache>
                <c:ptCount val="1"/>
                <c:pt idx="0">
                  <c:v>OTC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Pivot_calc!$B$71:$B$77</c:f>
              <c:strCache>
                <c:ptCount val="7"/>
                <c:pt idx="0">
                  <c:v>Apparel</c:v>
                </c:pt>
                <c:pt idx="1">
                  <c:v>Beauty</c:v>
                </c:pt>
                <c:pt idx="2">
                  <c:v>Books</c:v>
                </c:pt>
                <c:pt idx="3">
                  <c:v>Electronics</c:v>
                </c:pt>
                <c:pt idx="4">
                  <c:v>Home &amp; Kitchen</c:v>
                </c:pt>
                <c:pt idx="5">
                  <c:v>Misc</c:v>
                </c:pt>
                <c:pt idx="6">
                  <c:v>Toys</c:v>
                </c:pt>
              </c:strCache>
            </c:strRef>
          </c:cat>
          <c:val>
            <c:numRef>
              <c:f>Pivot_calc!$D$71:$D$77</c:f>
              <c:numCache>
                <c:formatCode>General</c:formatCode>
                <c:ptCount val="7"/>
                <c:pt idx="0">
                  <c:v>22.31</c:v>
                </c:pt>
                <c:pt idx="1">
                  <c:v>37.450000000000003</c:v>
                </c:pt>
                <c:pt idx="2">
                  <c:v>24.42</c:v>
                </c:pt>
                <c:pt idx="3">
                  <c:v>41.37</c:v>
                </c:pt>
                <c:pt idx="4">
                  <c:v>23.65</c:v>
                </c:pt>
                <c:pt idx="5">
                  <c:v>33.49</c:v>
                </c:pt>
                <c:pt idx="6">
                  <c:v>19.07</c:v>
                </c:pt>
              </c:numCache>
            </c:numRef>
          </c:val>
          <c:extLst>
            <c:ext xmlns:c16="http://schemas.microsoft.com/office/drawing/2014/chart" uri="{C3380CC4-5D6E-409C-BE32-E72D297353CC}">
              <c16:uniqueId val="{00000004-835A-45EC-A62F-B4C9CCE1C281}"/>
            </c:ext>
          </c:extLst>
        </c:ser>
        <c:ser>
          <c:idx val="2"/>
          <c:order val="2"/>
          <c:tx>
            <c:strRef>
              <c:f>Pivot_calc!$E$69:$E$70</c:f>
              <c:strCache>
                <c:ptCount val="1"/>
                <c:pt idx="0">
                  <c:v>SAFE-T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Pivot_calc!$B$71:$B$77</c:f>
              <c:strCache>
                <c:ptCount val="7"/>
                <c:pt idx="0">
                  <c:v>Apparel</c:v>
                </c:pt>
                <c:pt idx="1">
                  <c:v>Beauty</c:v>
                </c:pt>
                <c:pt idx="2">
                  <c:v>Books</c:v>
                </c:pt>
                <c:pt idx="3">
                  <c:v>Electronics</c:v>
                </c:pt>
                <c:pt idx="4">
                  <c:v>Home &amp; Kitchen</c:v>
                </c:pt>
                <c:pt idx="5">
                  <c:v>Misc</c:v>
                </c:pt>
                <c:pt idx="6">
                  <c:v>Toys</c:v>
                </c:pt>
              </c:strCache>
            </c:strRef>
          </c:cat>
          <c:val>
            <c:numRef>
              <c:f>Pivot_calc!$E$71:$E$77</c:f>
              <c:numCache>
                <c:formatCode>General</c:formatCode>
                <c:ptCount val="7"/>
                <c:pt idx="0">
                  <c:v>24.1</c:v>
                </c:pt>
                <c:pt idx="1">
                  <c:v>36.85</c:v>
                </c:pt>
                <c:pt idx="2">
                  <c:v>21.65</c:v>
                </c:pt>
                <c:pt idx="3">
                  <c:v>43.91</c:v>
                </c:pt>
                <c:pt idx="4">
                  <c:v>23.86</c:v>
                </c:pt>
                <c:pt idx="5">
                  <c:v>31.89</c:v>
                </c:pt>
                <c:pt idx="6">
                  <c:v>21.69</c:v>
                </c:pt>
              </c:numCache>
            </c:numRef>
          </c:val>
          <c:extLst>
            <c:ext xmlns:c16="http://schemas.microsoft.com/office/drawing/2014/chart" uri="{C3380CC4-5D6E-409C-BE32-E72D297353CC}">
              <c16:uniqueId val="{00000005-835A-45EC-A62F-B4C9CCE1C281}"/>
            </c:ext>
          </c:extLst>
        </c:ser>
        <c:dLbls>
          <c:dLblPos val="outEnd"/>
          <c:showLegendKey val="0"/>
          <c:showVal val="1"/>
          <c:showCatName val="0"/>
          <c:showSerName val="0"/>
          <c:showPercent val="0"/>
          <c:showBubbleSize val="0"/>
        </c:dLbls>
        <c:gapWidth val="219"/>
        <c:overlap val="-27"/>
        <c:axId val="471185471"/>
        <c:axId val="471182559"/>
      </c:barChart>
      <c:catAx>
        <c:axId val="471185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3981753550314168"/>
              <c:y val="0.841801994750656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82559"/>
        <c:crosses val="autoZero"/>
        <c:auto val="1"/>
        <c:lblAlgn val="ctr"/>
        <c:lblOffset val="100"/>
        <c:noMultiLvlLbl val="0"/>
      </c:catAx>
      <c:valAx>
        <c:axId val="471182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Fraud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85471"/>
        <c:crosses val="autoZero"/>
        <c:crossBetween val="between"/>
      </c:valAx>
      <c:spPr>
        <a:noFill/>
        <a:ln>
          <a:noFill/>
        </a:ln>
        <a:effectLst/>
      </c:spPr>
    </c:plotArea>
    <c:legend>
      <c:legendPos val="b"/>
      <c:layout>
        <c:manualLayout>
          <c:xMode val="edge"/>
          <c:yMode val="edge"/>
          <c:x val="0.81348437265263918"/>
          <c:y val="3.9171023622047246E-2"/>
          <c:w val="0.16957375735603558"/>
          <c:h val="0.167491443569553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Returns &amp; Reimbursement Risk Dashboard.xlsx]Pivot_calc!PivotTable24</c:name>
    <c:fmtId val="28"/>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50472111342991E-2"/>
          <c:y val="0.14006610948375481"/>
          <c:w val="0.89730409938017497"/>
          <c:h val="0.71986778103249038"/>
        </c:manualLayout>
      </c:layout>
      <c:lineChart>
        <c:grouping val="standard"/>
        <c:varyColors val="0"/>
        <c:ser>
          <c:idx val="0"/>
          <c:order val="0"/>
          <c:tx>
            <c:strRef>
              <c:f>Pivot_calc!$C$127:$C$128</c:f>
              <c:strCache>
                <c:ptCount val="1"/>
                <c:pt idx="0">
                  <c:v>OTC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Pivot_calc!$B$129:$B$154</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12">
                    <c:v>2024</c:v>
                  </c:pt>
                </c:lvl>
              </c:multiLvlStrCache>
            </c:multiLvlStrRef>
          </c:cat>
          <c:val>
            <c:numRef>
              <c:f>Pivot_calc!$C$129:$C$154</c:f>
              <c:numCache>
                <c:formatCode>General</c:formatCode>
                <c:ptCount val="23"/>
                <c:pt idx="1">
                  <c:v>-16.007359705611769</c:v>
                </c:pt>
                <c:pt idx="2">
                  <c:v>4.308141657539255</c:v>
                </c:pt>
                <c:pt idx="3">
                  <c:v>4.2352117605880313</c:v>
                </c:pt>
                <c:pt idx="4">
                  <c:v>7.3875083948959031</c:v>
                </c:pt>
                <c:pt idx="5">
                  <c:v>5.9724828017510889</c:v>
                </c:pt>
                <c:pt idx="6">
                  <c:v>-2.1835349660666914</c:v>
                </c:pt>
                <c:pt idx="7">
                  <c:v>-9.8340874811463035</c:v>
                </c:pt>
                <c:pt idx="8">
                  <c:v>9.8026095684175196</c:v>
                </c:pt>
                <c:pt idx="9">
                  <c:v>2.1023765996343702</c:v>
                </c:pt>
                <c:pt idx="10">
                  <c:v>-16.442852879737391</c:v>
                </c:pt>
                <c:pt idx="11">
                  <c:v>16.214285714285715</c:v>
                </c:pt>
                <c:pt idx="12">
                  <c:v>-7.0374923171481196</c:v>
                </c:pt>
                <c:pt idx="13">
                  <c:v>-8.7933884297520688</c:v>
                </c:pt>
                <c:pt idx="14">
                  <c:v>-2.029720913374411</c:v>
                </c:pt>
                <c:pt idx="15">
                  <c:v>0.48094709581945061</c:v>
                </c:pt>
                <c:pt idx="16">
                  <c:v>7.5478645066273886</c:v>
                </c:pt>
                <c:pt idx="17">
                  <c:v>-9.3118794933242164</c:v>
                </c:pt>
                <c:pt idx="18">
                  <c:v>30.577576443941123</c:v>
                </c:pt>
                <c:pt idx="19">
                  <c:v>-18.93610870193698</c:v>
                </c:pt>
                <c:pt idx="20">
                  <c:v>-7.2753209700427979</c:v>
                </c:pt>
                <c:pt idx="21">
                  <c:v>15.692307692307693</c:v>
                </c:pt>
                <c:pt idx="22">
                  <c:v>66.223404255319167</c:v>
                </c:pt>
              </c:numCache>
            </c:numRef>
          </c:val>
          <c:smooth val="0"/>
          <c:extLst>
            <c:ext xmlns:c16="http://schemas.microsoft.com/office/drawing/2014/chart" uri="{C3380CC4-5D6E-409C-BE32-E72D297353CC}">
              <c16:uniqueId val="{00000000-7ECA-4A17-BD82-372A7401E526}"/>
            </c:ext>
          </c:extLst>
        </c:ser>
        <c:ser>
          <c:idx val="1"/>
          <c:order val="1"/>
          <c:tx>
            <c:strRef>
              <c:f>Pivot_calc!$D$127:$D$128</c:f>
              <c:strCache>
                <c:ptCount val="1"/>
                <c:pt idx="0">
                  <c:v>SAFE-T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Pivot_calc!$B$129:$B$154</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12">
                    <c:v>2024</c:v>
                  </c:pt>
                </c:lvl>
              </c:multiLvlStrCache>
            </c:multiLvlStrRef>
          </c:cat>
          <c:val>
            <c:numRef>
              <c:f>Pivot_calc!$D$129:$D$154</c:f>
              <c:numCache>
                <c:formatCode>General</c:formatCode>
                <c:ptCount val="23"/>
                <c:pt idx="1">
                  <c:v>26.254545454545443</c:v>
                </c:pt>
                <c:pt idx="2">
                  <c:v>-22.494239631336399</c:v>
                </c:pt>
                <c:pt idx="3">
                  <c:v>35.711631363805282</c:v>
                </c:pt>
                <c:pt idx="4">
                  <c:v>-11.199342825848857</c:v>
                </c:pt>
                <c:pt idx="5">
                  <c:v>-12.426765340733892</c:v>
                </c:pt>
                <c:pt idx="6">
                  <c:v>10.316901408450697</c:v>
                </c:pt>
                <c:pt idx="7">
                  <c:v>3.1918289179699855E-2</c:v>
                </c:pt>
                <c:pt idx="8">
                  <c:v>-16.368857689853222</c:v>
                </c:pt>
                <c:pt idx="9">
                  <c:v>-4.2350247996947754</c:v>
                </c:pt>
                <c:pt idx="10">
                  <c:v>18.525896414342611</c:v>
                </c:pt>
                <c:pt idx="11">
                  <c:v>6.386554621848739</c:v>
                </c:pt>
                <c:pt idx="12">
                  <c:v>-1.7693522906793047</c:v>
                </c:pt>
                <c:pt idx="13">
                  <c:v>2.6375040205854017</c:v>
                </c:pt>
                <c:pt idx="14">
                  <c:v>7.7405202130993445</c:v>
                </c:pt>
                <c:pt idx="15">
                  <c:v>-9.5113438045375318</c:v>
                </c:pt>
                <c:pt idx="16">
                  <c:v>7.58598521375764</c:v>
                </c:pt>
                <c:pt idx="17">
                  <c:v>-4.6907678518075873</c:v>
                </c:pt>
                <c:pt idx="18">
                  <c:v>3.260188087774285</c:v>
                </c:pt>
                <c:pt idx="19">
                  <c:v>-4.4019429265330867</c:v>
                </c:pt>
                <c:pt idx="20">
                  <c:v>-4.3505874880914508</c:v>
                </c:pt>
                <c:pt idx="21">
                  <c:v>-2.4568393094289598</c:v>
                </c:pt>
                <c:pt idx="22">
                  <c:v>-7.1817562968005451</c:v>
                </c:pt>
              </c:numCache>
            </c:numRef>
          </c:val>
          <c:smooth val="0"/>
          <c:extLst>
            <c:ext xmlns:c16="http://schemas.microsoft.com/office/drawing/2014/chart" uri="{C3380CC4-5D6E-409C-BE32-E72D297353CC}">
              <c16:uniqueId val="{00000005-7ECA-4A17-BD82-372A7401E526}"/>
            </c:ext>
          </c:extLst>
        </c:ser>
        <c:dLbls>
          <c:showLegendKey val="0"/>
          <c:showVal val="0"/>
          <c:showCatName val="0"/>
          <c:showSerName val="0"/>
          <c:showPercent val="0"/>
          <c:showBubbleSize val="0"/>
        </c:dLbls>
        <c:marker val="1"/>
        <c:smooth val="0"/>
        <c:axId val="736681999"/>
        <c:axId val="736679087"/>
      </c:lineChart>
      <c:catAx>
        <c:axId val="73668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679087"/>
        <c:crosses val="autoZero"/>
        <c:auto val="1"/>
        <c:lblAlgn val="ctr"/>
        <c:lblOffset val="100"/>
        <c:noMultiLvlLbl val="0"/>
      </c:catAx>
      <c:valAx>
        <c:axId val="73667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681999"/>
        <c:crosses val="autoZero"/>
        <c:crossBetween val="between"/>
      </c:valAx>
      <c:spPr>
        <a:noFill/>
        <a:ln>
          <a:noFill/>
        </a:ln>
        <a:effectLst/>
      </c:spPr>
    </c:plotArea>
    <c:legend>
      <c:legendPos val="r"/>
      <c:layout>
        <c:manualLayout>
          <c:xMode val="edge"/>
          <c:yMode val="edge"/>
          <c:x val="0.92707644855695082"/>
          <c:y val="3.5199627350335445E-2"/>
          <c:w val="6.6754791804362182E-2"/>
          <c:h val="0.21970313437782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Returns &amp; Reimbursement Risk Dashboard.xlsx]Pivot_calc!PivotTable36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rPr>
              <a:t>% Refund Share</a:t>
            </a:r>
            <a:r>
              <a:rPr lang="en-US" b="1" baseline="0">
                <a:latin typeface="+mn-lt"/>
              </a:rPr>
              <a:t> by Risk Band</a:t>
            </a:r>
          </a:p>
        </c:rich>
      </c:tx>
      <c:layout>
        <c:manualLayout>
          <c:xMode val="edge"/>
          <c:yMode val="edge"/>
          <c:x val="0.57188271763563436"/>
          <c:y val="0.137510340390330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6779691156491616"/>
          <c:y val="0.19388895618816882"/>
          <c:w val="0.36890994316767317"/>
          <c:h val="0.80611104381183118"/>
        </c:manualLayout>
      </c:layout>
      <c:pieChart>
        <c:varyColors val="1"/>
        <c:ser>
          <c:idx val="0"/>
          <c:order val="0"/>
          <c:tx>
            <c:strRef>
              <c:f>Pivot_calc!$C$166</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24-4350-9082-66CEDF8A15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24-4350-9082-66CEDF8A15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24-4350-9082-66CEDF8A15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Pivot_calc!$B$167:$B$170</c:f>
              <c:strCache>
                <c:ptCount val="3"/>
                <c:pt idx="0">
                  <c:v>High</c:v>
                </c:pt>
                <c:pt idx="1">
                  <c:v>Low</c:v>
                </c:pt>
                <c:pt idx="2">
                  <c:v>Medium</c:v>
                </c:pt>
              </c:strCache>
            </c:strRef>
          </c:cat>
          <c:val>
            <c:numRef>
              <c:f>Pivot_calc!$C$167:$C$170</c:f>
              <c:numCache>
                <c:formatCode>General</c:formatCode>
                <c:ptCount val="3"/>
                <c:pt idx="0">
                  <c:v>10.6</c:v>
                </c:pt>
                <c:pt idx="1">
                  <c:v>12</c:v>
                </c:pt>
                <c:pt idx="2">
                  <c:v>38.79</c:v>
                </c:pt>
              </c:numCache>
            </c:numRef>
          </c:val>
          <c:extLst>
            <c:ext xmlns:c16="http://schemas.microsoft.com/office/drawing/2014/chart" uri="{C3380CC4-5D6E-409C-BE32-E72D297353CC}">
              <c16:uniqueId val="{00000006-5524-4350-9082-66CEDF8A157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827150392777414"/>
          <c:y val="0.56207153210326322"/>
          <c:w val="0.3117284960722258"/>
          <c:h val="0.432204854990141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37040</xdr:colOff>
      <xdr:row>4</xdr:row>
      <xdr:rowOff>57149</xdr:rowOff>
    </xdr:from>
    <xdr:to>
      <xdr:col>1</xdr:col>
      <xdr:colOff>541866</xdr:colOff>
      <xdr:row>10</xdr:row>
      <xdr:rowOff>74083</xdr:rowOff>
    </xdr:to>
    <xdr:grpSp>
      <xdr:nvGrpSpPr>
        <xdr:cNvPr id="7" name="Group 6">
          <a:extLst>
            <a:ext uri="{FF2B5EF4-FFF2-40B4-BE49-F238E27FC236}">
              <a16:creationId xmlns:a16="http://schemas.microsoft.com/office/drawing/2014/main" id="{E7CCB713-23F7-4D62-87C3-3127ADF90151}"/>
            </a:ext>
          </a:extLst>
        </xdr:cNvPr>
        <xdr:cNvGrpSpPr/>
      </xdr:nvGrpSpPr>
      <xdr:grpSpPr>
        <a:xfrm>
          <a:off x="37040" y="750817"/>
          <a:ext cx="1871456" cy="1217913"/>
          <a:chOff x="28575" y="838200"/>
          <a:chExt cx="1659024" cy="942891"/>
        </a:xfrm>
      </xdr:grpSpPr>
      <xdr:sp macro="" textlink="">
        <xdr:nvSpPr>
          <xdr:cNvPr id="19" name="Rectangle: Rounded Corners 18">
            <a:extLst>
              <a:ext uri="{FF2B5EF4-FFF2-40B4-BE49-F238E27FC236}">
                <a16:creationId xmlns:a16="http://schemas.microsoft.com/office/drawing/2014/main" id="{D8EBFABC-21EF-403D-A12B-EA54CAFF284A}"/>
              </a:ext>
            </a:extLst>
          </xdr:cNvPr>
          <xdr:cNvSpPr/>
        </xdr:nvSpPr>
        <xdr:spPr>
          <a:xfrm>
            <a:off x="28575" y="838200"/>
            <a:ext cx="1659024" cy="942891"/>
          </a:xfrm>
          <a:prstGeom prst="roundRect">
            <a:avLst/>
          </a:prstGeom>
          <a:ln>
            <a:solidFill>
              <a:schemeClr val="bg1">
                <a:lumMod val="50000"/>
              </a:schemeClr>
            </a:solid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400" b="1">
                <a:solidFill>
                  <a:schemeClr val="bg1"/>
                </a:solidFill>
                <a:latin typeface="Corbel" panose="020B0503020204020204" pitchFamily="34" charset="0"/>
              </a:rPr>
              <a:t>TOTAL CASES</a:t>
            </a:r>
          </a:p>
        </xdr:txBody>
      </xdr:sp>
      <xdr:sp macro="" textlink="$N$5">
        <xdr:nvSpPr>
          <xdr:cNvPr id="20" name="Rectangle: Rounded Corners 19">
            <a:extLst>
              <a:ext uri="{FF2B5EF4-FFF2-40B4-BE49-F238E27FC236}">
                <a16:creationId xmlns:a16="http://schemas.microsoft.com/office/drawing/2014/main" id="{0B3B40B4-D36D-4691-8F88-826F7B6941CC}"/>
              </a:ext>
            </a:extLst>
          </xdr:cNvPr>
          <xdr:cNvSpPr/>
        </xdr:nvSpPr>
        <xdr:spPr>
          <a:xfrm>
            <a:off x="333375" y="1219200"/>
            <a:ext cx="1000125" cy="371475"/>
          </a:xfrm>
          <a:prstGeom prst="round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FE60F65E-F579-4732-9A8C-F2813FB93695}" type="TxLink">
              <a:rPr lang="en-US" sz="2000" b="0" i="0" u="none" strike="noStrike">
                <a:solidFill>
                  <a:schemeClr val="bg1"/>
                </a:solidFill>
                <a:latin typeface="Calibri"/>
                <a:cs typeface="Calibri"/>
              </a:rPr>
              <a:pPr algn="ctr"/>
              <a:t>11000</a:t>
            </a:fld>
            <a:endParaRPr lang="en-US" sz="2000">
              <a:solidFill>
                <a:schemeClr val="bg1"/>
              </a:solidFill>
            </a:endParaRPr>
          </a:p>
        </xdr:txBody>
      </xdr:sp>
    </xdr:grpSp>
    <xdr:clientData/>
  </xdr:twoCellAnchor>
  <xdr:twoCellAnchor>
    <xdr:from>
      <xdr:col>4</xdr:col>
      <xdr:colOff>1133475</xdr:colOff>
      <xdr:row>4</xdr:row>
      <xdr:rowOff>103716</xdr:rowOff>
    </xdr:from>
    <xdr:to>
      <xdr:col>6</xdr:col>
      <xdr:colOff>609600</xdr:colOff>
      <xdr:row>10</xdr:row>
      <xdr:rowOff>94192</xdr:rowOff>
    </xdr:to>
    <xdr:grpSp>
      <xdr:nvGrpSpPr>
        <xdr:cNvPr id="6" name="Group 5">
          <a:extLst>
            <a:ext uri="{FF2B5EF4-FFF2-40B4-BE49-F238E27FC236}">
              <a16:creationId xmlns:a16="http://schemas.microsoft.com/office/drawing/2014/main" id="{1195B044-CED8-4027-8C1A-05ECDCE75DE5}"/>
            </a:ext>
          </a:extLst>
        </xdr:cNvPr>
        <xdr:cNvGrpSpPr/>
      </xdr:nvGrpSpPr>
      <xdr:grpSpPr>
        <a:xfrm>
          <a:off x="6258339" y="797384"/>
          <a:ext cx="1981614" cy="1191455"/>
          <a:chOff x="2019299" y="866775"/>
          <a:chExt cx="1590675" cy="800100"/>
        </a:xfrm>
      </xdr:grpSpPr>
      <xdr:sp macro="" textlink="">
        <xdr:nvSpPr>
          <xdr:cNvPr id="21" name="Rectangle: Rounded Corners 20">
            <a:extLst>
              <a:ext uri="{FF2B5EF4-FFF2-40B4-BE49-F238E27FC236}">
                <a16:creationId xmlns:a16="http://schemas.microsoft.com/office/drawing/2014/main" id="{46E5E716-93C3-4AE4-A83B-AEA2C92DC0F5}"/>
              </a:ext>
            </a:extLst>
          </xdr:cNvPr>
          <xdr:cNvSpPr/>
        </xdr:nvSpPr>
        <xdr:spPr>
          <a:xfrm>
            <a:off x="2019299" y="866775"/>
            <a:ext cx="1590675" cy="800100"/>
          </a:xfrm>
          <a:prstGeom prst="roundRect">
            <a:avLst/>
          </a:prstGeom>
          <a:solidFill>
            <a:schemeClr val="accent2">
              <a:lumMod val="60000"/>
              <a:lumOff val="40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400" b="1">
                <a:solidFill>
                  <a:schemeClr val="bg1"/>
                </a:solidFill>
                <a:latin typeface="Corbel" panose="020B0503020204020204" pitchFamily="34" charset="0"/>
              </a:rPr>
              <a:t>FRAUD</a:t>
            </a:r>
            <a:r>
              <a:rPr lang="en-US" sz="1400" b="1" baseline="0">
                <a:solidFill>
                  <a:schemeClr val="bg1"/>
                </a:solidFill>
                <a:latin typeface="Corbel" panose="020B0503020204020204" pitchFamily="34" charset="0"/>
              </a:rPr>
              <a:t> RATE</a:t>
            </a:r>
            <a:endParaRPr lang="en-US" sz="1400" b="1">
              <a:solidFill>
                <a:schemeClr val="bg1"/>
              </a:solidFill>
              <a:latin typeface="Corbel" panose="020B0503020204020204" pitchFamily="34" charset="0"/>
            </a:endParaRPr>
          </a:p>
        </xdr:txBody>
      </xdr:sp>
      <xdr:sp macro="" textlink="$N$8">
        <xdr:nvSpPr>
          <xdr:cNvPr id="26" name="Rectangle: Rounded Corners 25">
            <a:extLst>
              <a:ext uri="{FF2B5EF4-FFF2-40B4-BE49-F238E27FC236}">
                <a16:creationId xmlns:a16="http://schemas.microsoft.com/office/drawing/2014/main" id="{230444A1-CAF2-4552-976D-D8A5071599EA}"/>
              </a:ext>
            </a:extLst>
          </xdr:cNvPr>
          <xdr:cNvSpPr/>
        </xdr:nvSpPr>
        <xdr:spPr>
          <a:xfrm>
            <a:off x="2381250" y="1276350"/>
            <a:ext cx="948016" cy="326001"/>
          </a:xfrm>
          <a:prstGeom prst="roundRect">
            <a:avLst/>
          </a:prstGeom>
          <a:solidFill>
            <a:schemeClr val="accent2">
              <a:lumMod val="60000"/>
              <a:lumOff val="4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1D738898-223F-4278-A95B-A31C0FC7796A}" type="TxLink">
              <a:rPr lang="en-US" sz="2000" b="0" i="0" u="none" strike="noStrike">
                <a:solidFill>
                  <a:schemeClr val="bg1"/>
                </a:solidFill>
                <a:latin typeface="Calibri"/>
                <a:cs typeface="Calibri"/>
              </a:rPr>
              <a:pPr algn="ctr"/>
              <a:t>28.71</a:t>
            </a:fld>
            <a:r>
              <a:rPr lang="en-US" sz="2000" b="0" i="0" u="none" strike="noStrike">
                <a:solidFill>
                  <a:schemeClr val="bg1"/>
                </a:solidFill>
                <a:latin typeface="Calibri"/>
                <a:cs typeface="Calibri"/>
              </a:rPr>
              <a:t>%</a:t>
            </a:r>
            <a:endParaRPr lang="en-US" sz="3200">
              <a:solidFill>
                <a:schemeClr val="bg1"/>
              </a:solidFill>
            </a:endParaRPr>
          </a:p>
        </xdr:txBody>
      </xdr:sp>
    </xdr:grpSp>
    <xdr:clientData/>
  </xdr:twoCellAnchor>
  <xdr:twoCellAnchor>
    <xdr:from>
      <xdr:col>3</xdr:col>
      <xdr:colOff>275166</xdr:colOff>
      <xdr:row>4</xdr:row>
      <xdr:rowOff>107949</xdr:rowOff>
    </xdr:from>
    <xdr:to>
      <xdr:col>4</xdr:col>
      <xdr:colOff>987426</xdr:colOff>
      <xdr:row>10</xdr:row>
      <xdr:rowOff>77257</xdr:rowOff>
    </xdr:to>
    <xdr:grpSp>
      <xdr:nvGrpSpPr>
        <xdr:cNvPr id="5" name="Group 4">
          <a:extLst>
            <a:ext uri="{FF2B5EF4-FFF2-40B4-BE49-F238E27FC236}">
              <a16:creationId xmlns:a16="http://schemas.microsoft.com/office/drawing/2014/main" id="{82A7FE19-7C34-4E85-A57A-8DCD24101171}"/>
            </a:ext>
          </a:extLst>
        </xdr:cNvPr>
        <xdr:cNvGrpSpPr/>
      </xdr:nvGrpSpPr>
      <xdr:grpSpPr>
        <a:xfrm>
          <a:off x="4147286" y="801617"/>
          <a:ext cx="1965004" cy="1170287"/>
          <a:chOff x="3810000" y="771525"/>
          <a:chExt cx="1714500" cy="800100"/>
        </a:xfrm>
      </xdr:grpSpPr>
      <xdr:sp macro="" textlink="">
        <xdr:nvSpPr>
          <xdr:cNvPr id="22" name="Rectangle: Rounded Corners 21">
            <a:extLst>
              <a:ext uri="{FF2B5EF4-FFF2-40B4-BE49-F238E27FC236}">
                <a16:creationId xmlns:a16="http://schemas.microsoft.com/office/drawing/2014/main" id="{21164178-5D89-4808-A493-F41E3B01C204}"/>
              </a:ext>
            </a:extLst>
          </xdr:cNvPr>
          <xdr:cNvSpPr/>
        </xdr:nvSpPr>
        <xdr:spPr>
          <a:xfrm>
            <a:off x="3810000" y="771525"/>
            <a:ext cx="1714500" cy="800100"/>
          </a:xfrm>
          <a:prstGeom prst="roundRect">
            <a:avLst/>
          </a:prstGeom>
          <a:ln>
            <a:solidFill>
              <a:schemeClr val="bg1">
                <a:lumMod val="50000"/>
              </a:schemeClr>
            </a:solid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400" b="1">
                <a:solidFill>
                  <a:schemeClr val="bg1"/>
                </a:solidFill>
                <a:latin typeface="Corbel" panose="020B0503020204020204" pitchFamily="34" charset="0"/>
              </a:rPr>
              <a:t>AVERAGE</a:t>
            </a:r>
            <a:r>
              <a:rPr lang="en-US" sz="1400" b="1" baseline="0">
                <a:solidFill>
                  <a:schemeClr val="bg1"/>
                </a:solidFill>
                <a:latin typeface="Corbel" panose="020B0503020204020204" pitchFamily="34" charset="0"/>
              </a:rPr>
              <a:t> REFUND NAM</a:t>
            </a:r>
            <a:endParaRPr lang="en-US" sz="1400" b="1">
              <a:solidFill>
                <a:schemeClr val="bg1"/>
              </a:solidFill>
              <a:latin typeface="Corbel" panose="020B0503020204020204" pitchFamily="34" charset="0"/>
            </a:endParaRPr>
          </a:p>
        </xdr:txBody>
      </xdr:sp>
      <xdr:sp macro="" textlink="$N$9">
        <xdr:nvSpPr>
          <xdr:cNvPr id="27" name="Rectangle: Rounded Corners 26">
            <a:extLst>
              <a:ext uri="{FF2B5EF4-FFF2-40B4-BE49-F238E27FC236}">
                <a16:creationId xmlns:a16="http://schemas.microsoft.com/office/drawing/2014/main" id="{67467C98-E4D7-40BB-A944-BEBB0D535E0C}"/>
              </a:ext>
            </a:extLst>
          </xdr:cNvPr>
          <xdr:cNvSpPr/>
        </xdr:nvSpPr>
        <xdr:spPr>
          <a:xfrm>
            <a:off x="4233862" y="1218900"/>
            <a:ext cx="876300" cy="247650"/>
          </a:xfrm>
          <a:prstGeom prst="round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2089E47B-2640-4C3D-B660-B2228CF28F36}" type="TxLink">
              <a:rPr lang="en-US" sz="2000" b="0" i="0" u="none" strike="noStrike">
                <a:solidFill>
                  <a:schemeClr val="bg1"/>
                </a:solidFill>
                <a:latin typeface="Calibri"/>
                <a:cs typeface="Calibri"/>
              </a:rPr>
              <a:pPr algn="ctr"/>
              <a:t>40.24</a:t>
            </a:fld>
            <a:r>
              <a:rPr lang="en-US" sz="2000" b="0" i="0" u="none" strike="noStrike">
                <a:solidFill>
                  <a:schemeClr val="bg1"/>
                </a:solidFill>
                <a:latin typeface="Calibri"/>
                <a:cs typeface="Calibri"/>
              </a:rPr>
              <a:t> $</a:t>
            </a:r>
            <a:endParaRPr lang="en-US" sz="2800">
              <a:solidFill>
                <a:schemeClr val="bg1"/>
              </a:solidFill>
            </a:endParaRPr>
          </a:p>
        </xdr:txBody>
      </xdr:sp>
    </xdr:grpSp>
    <xdr:clientData/>
  </xdr:twoCellAnchor>
  <xdr:twoCellAnchor>
    <xdr:from>
      <xdr:col>6</xdr:col>
      <xdr:colOff>772584</xdr:colOff>
      <xdr:row>4</xdr:row>
      <xdr:rowOff>83607</xdr:rowOff>
    </xdr:from>
    <xdr:to>
      <xdr:col>8</xdr:col>
      <xdr:colOff>297392</xdr:colOff>
      <xdr:row>10</xdr:row>
      <xdr:rowOff>74084</xdr:rowOff>
    </xdr:to>
    <xdr:grpSp>
      <xdr:nvGrpSpPr>
        <xdr:cNvPr id="3" name="Group 2">
          <a:extLst>
            <a:ext uri="{FF2B5EF4-FFF2-40B4-BE49-F238E27FC236}">
              <a16:creationId xmlns:a16="http://schemas.microsoft.com/office/drawing/2014/main" id="{23EABBF2-5586-400D-8228-1396DF93ABC8}"/>
            </a:ext>
          </a:extLst>
        </xdr:cNvPr>
        <xdr:cNvGrpSpPr/>
      </xdr:nvGrpSpPr>
      <xdr:grpSpPr>
        <a:xfrm>
          <a:off x="8402937" y="777275"/>
          <a:ext cx="2030297" cy="1191456"/>
          <a:chOff x="8181975" y="857250"/>
          <a:chExt cx="1676400" cy="800100"/>
        </a:xfrm>
      </xdr:grpSpPr>
      <xdr:sp macro="" textlink="">
        <xdr:nvSpPr>
          <xdr:cNvPr id="23" name="Rectangle: Rounded Corners 22">
            <a:extLst>
              <a:ext uri="{FF2B5EF4-FFF2-40B4-BE49-F238E27FC236}">
                <a16:creationId xmlns:a16="http://schemas.microsoft.com/office/drawing/2014/main" id="{8A3A93F2-28F3-4216-8184-2FC932D15F88}"/>
              </a:ext>
            </a:extLst>
          </xdr:cNvPr>
          <xdr:cNvSpPr/>
        </xdr:nvSpPr>
        <xdr:spPr>
          <a:xfrm>
            <a:off x="8181975" y="857250"/>
            <a:ext cx="1676400" cy="800100"/>
          </a:xfrm>
          <a:prstGeom prst="roundRect">
            <a:avLst/>
          </a:prstGeom>
          <a:solidFill>
            <a:schemeClr val="accent5">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400" b="1">
                <a:solidFill>
                  <a:schemeClr val="bg1"/>
                </a:solidFill>
                <a:latin typeface="Corbel" panose="020B0503020204020204" pitchFamily="34" charset="0"/>
              </a:rPr>
              <a:t>AVERAGE</a:t>
            </a:r>
            <a:r>
              <a:rPr lang="en-US" sz="1400" b="1" baseline="0">
                <a:solidFill>
                  <a:schemeClr val="bg1"/>
                </a:solidFill>
                <a:latin typeface="Corbel" panose="020B0503020204020204" pitchFamily="34" charset="0"/>
              </a:rPr>
              <a:t> HANDLING TIME MINS</a:t>
            </a:r>
            <a:endParaRPr lang="en-US" sz="1400" b="1">
              <a:solidFill>
                <a:schemeClr val="bg1"/>
              </a:solidFill>
              <a:latin typeface="Corbel" panose="020B0503020204020204" pitchFamily="34" charset="0"/>
            </a:endParaRPr>
          </a:p>
        </xdr:txBody>
      </xdr:sp>
      <xdr:sp macro="" textlink="$N$11">
        <xdr:nvSpPr>
          <xdr:cNvPr id="28" name="Rectangle: Rounded Corners 27">
            <a:extLst>
              <a:ext uri="{FF2B5EF4-FFF2-40B4-BE49-F238E27FC236}">
                <a16:creationId xmlns:a16="http://schemas.microsoft.com/office/drawing/2014/main" id="{3DFCFF31-F655-4D41-AB14-6F86A28F02C6}"/>
              </a:ext>
            </a:extLst>
          </xdr:cNvPr>
          <xdr:cNvSpPr/>
        </xdr:nvSpPr>
        <xdr:spPr>
          <a:xfrm>
            <a:off x="8589282" y="1350054"/>
            <a:ext cx="876300" cy="276225"/>
          </a:xfrm>
          <a:prstGeom prst="roundRect">
            <a:avLst/>
          </a:prstGeom>
          <a:solidFill>
            <a:schemeClr val="accent5">
              <a:lumMod val="75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FA241615-61E9-49D9-AD62-BCFC3DFA08C5}" type="TxLink">
              <a:rPr lang="en-US" sz="2400" b="0" i="0" u="none" strike="noStrike">
                <a:solidFill>
                  <a:schemeClr val="bg1"/>
                </a:solidFill>
                <a:latin typeface="Calibri"/>
                <a:cs typeface="Calibri"/>
              </a:rPr>
              <a:pPr algn="ctr"/>
              <a:t>6.5</a:t>
            </a:fld>
            <a:endParaRPr lang="en-US" sz="6000">
              <a:solidFill>
                <a:schemeClr val="bg1"/>
              </a:solidFill>
            </a:endParaRPr>
          </a:p>
        </xdr:txBody>
      </xdr:sp>
    </xdr:grpSp>
    <xdr:clientData/>
  </xdr:twoCellAnchor>
  <xdr:twoCellAnchor>
    <xdr:from>
      <xdr:col>8</xdr:col>
      <xdr:colOff>352425</xdr:colOff>
      <xdr:row>4</xdr:row>
      <xdr:rowOff>65617</xdr:rowOff>
    </xdr:from>
    <xdr:to>
      <xdr:col>12</xdr:col>
      <xdr:colOff>48683</xdr:colOff>
      <xdr:row>10</xdr:row>
      <xdr:rowOff>56092</xdr:rowOff>
    </xdr:to>
    <xdr:grpSp>
      <xdr:nvGrpSpPr>
        <xdr:cNvPr id="4" name="Group 3">
          <a:extLst>
            <a:ext uri="{FF2B5EF4-FFF2-40B4-BE49-F238E27FC236}">
              <a16:creationId xmlns:a16="http://schemas.microsoft.com/office/drawing/2014/main" id="{29F48F87-6010-49FD-B2C7-E9A4C31CA9E0}"/>
            </a:ext>
          </a:extLst>
        </xdr:cNvPr>
        <xdr:cNvGrpSpPr/>
      </xdr:nvGrpSpPr>
      <xdr:grpSpPr>
        <a:xfrm>
          <a:off x="10488267" y="759285"/>
          <a:ext cx="2098215" cy="1191454"/>
          <a:chOff x="10617368" y="864752"/>
          <a:chExt cx="1790700" cy="800100"/>
        </a:xfrm>
      </xdr:grpSpPr>
      <xdr:sp macro="" textlink="">
        <xdr:nvSpPr>
          <xdr:cNvPr id="24" name="Rectangle: Rounded Corners 23">
            <a:extLst>
              <a:ext uri="{FF2B5EF4-FFF2-40B4-BE49-F238E27FC236}">
                <a16:creationId xmlns:a16="http://schemas.microsoft.com/office/drawing/2014/main" id="{5917219E-6B46-4222-9322-E6AA18905BEC}"/>
              </a:ext>
            </a:extLst>
          </xdr:cNvPr>
          <xdr:cNvSpPr/>
        </xdr:nvSpPr>
        <xdr:spPr>
          <a:xfrm>
            <a:off x="10617368" y="864752"/>
            <a:ext cx="1790700" cy="800100"/>
          </a:xfrm>
          <a:prstGeom prst="roundRect">
            <a:avLst/>
          </a:prstGeom>
          <a:solidFill>
            <a:schemeClr val="accent5">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400" b="1">
                <a:solidFill>
                  <a:schemeClr val="lt1"/>
                </a:solidFill>
                <a:effectLst/>
                <a:latin typeface="Corbel" panose="020B0503020204020204" pitchFamily="34" charset="0"/>
                <a:ea typeface="+mn-ea"/>
                <a:cs typeface="+mn-cs"/>
              </a:rPr>
              <a:t>AVERAG</a:t>
            </a:r>
            <a:r>
              <a:rPr lang="en-US" sz="1400" b="1" baseline="0">
                <a:solidFill>
                  <a:schemeClr val="lt1"/>
                </a:solidFill>
                <a:effectLst/>
                <a:latin typeface="Corbel" panose="020B0503020204020204" pitchFamily="34" charset="0"/>
                <a:ea typeface="+mn-ea"/>
                <a:cs typeface="+mn-cs"/>
              </a:rPr>
              <a:t>E RESLOUTION TIME DAYS</a:t>
            </a:r>
            <a:endParaRPr lang="en-US" sz="1800">
              <a:effectLst/>
              <a:latin typeface="Corbel" panose="020B0503020204020204" pitchFamily="34" charset="0"/>
            </a:endParaRPr>
          </a:p>
        </xdr:txBody>
      </xdr:sp>
      <xdr:sp macro="" textlink="$N$12">
        <xdr:nvSpPr>
          <xdr:cNvPr id="29" name="Rectangle: Rounded Corners 28">
            <a:extLst>
              <a:ext uri="{FF2B5EF4-FFF2-40B4-BE49-F238E27FC236}">
                <a16:creationId xmlns:a16="http://schemas.microsoft.com/office/drawing/2014/main" id="{9BB544B2-DB63-478C-8AB1-CA3B2022C7BC}"/>
              </a:ext>
            </a:extLst>
          </xdr:cNvPr>
          <xdr:cNvSpPr/>
        </xdr:nvSpPr>
        <xdr:spPr>
          <a:xfrm>
            <a:off x="11087100" y="1333500"/>
            <a:ext cx="876300" cy="266700"/>
          </a:xfrm>
          <a:prstGeom prst="roundRect">
            <a:avLst/>
          </a:prstGeom>
          <a:solidFill>
            <a:schemeClr val="accent5">
              <a:lumMod val="75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754A5088-485F-4634-84B9-4EA71682392E}" type="TxLink">
              <a:rPr lang="en-US" sz="2400" b="0" i="0" u="none" strike="noStrike">
                <a:solidFill>
                  <a:schemeClr val="bg1"/>
                </a:solidFill>
                <a:latin typeface="Calibri"/>
                <a:cs typeface="Calibri"/>
              </a:rPr>
              <a:pPr algn="ctr"/>
              <a:t>4.2</a:t>
            </a:fld>
            <a:endParaRPr lang="en-US" sz="6000">
              <a:solidFill>
                <a:schemeClr val="bg1"/>
              </a:solidFill>
            </a:endParaRPr>
          </a:p>
        </xdr:txBody>
      </xdr:sp>
    </xdr:grpSp>
    <xdr:clientData/>
  </xdr:twoCellAnchor>
  <xdr:twoCellAnchor>
    <xdr:from>
      <xdr:col>1</xdr:col>
      <xdr:colOff>675216</xdr:colOff>
      <xdr:row>4</xdr:row>
      <xdr:rowOff>83608</xdr:rowOff>
    </xdr:from>
    <xdr:to>
      <xdr:col>3</xdr:col>
      <xdr:colOff>119591</xdr:colOff>
      <xdr:row>10</xdr:row>
      <xdr:rowOff>93134</xdr:rowOff>
    </xdr:to>
    <xdr:grpSp>
      <xdr:nvGrpSpPr>
        <xdr:cNvPr id="2" name="Group 1">
          <a:extLst>
            <a:ext uri="{FF2B5EF4-FFF2-40B4-BE49-F238E27FC236}">
              <a16:creationId xmlns:a16="http://schemas.microsoft.com/office/drawing/2014/main" id="{C9B9E288-12DC-4B0A-B97B-22A2FFDC3FC3}"/>
            </a:ext>
          </a:extLst>
        </xdr:cNvPr>
        <xdr:cNvGrpSpPr/>
      </xdr:nvGrpSpPr>
      <xdr:grpSpPr>
        <a:xfrm>
          <a:off x="2041846" y="777276"/>
          <a:ext cx="1949865" cy="1210505"/>
          <a:chOff x="6856514" y="462683"/>
          <a:chExt cx="1676400" cy="809625"/>
        </a:xfrm>
      </xdr:grpSpPr>
      <xdr:sp macro="" textlink="">
        <xdr:nvSpPr>
          <xdr:cNvPr id="34" name="Rectangle: Rounded Corners 33">
            <a:extLst>
              <a:ext uri="{FF2B5EF4-FFF2-40B4-BE49-F238E27FC236}">
                <a16:creationId xmlns:a16="http://schemas.microsoft.com/office/drawing/2014/main" id="{3FD0EECE-9ED4-48C7-8081-28C13D1BDD83}"/>
              </a:ext>
            </a:extLst>
          </xdr:cNvPr>
          <xdr:cNvSpPr/>
        </xdr:nvSpPr>
        <xdr:spPr>
          <a:xfrm>
            <a:off x="6856514" y="462683"/>
            <a:ext cx="1676400" cy="809625"/>
          </a:xfrm>
          <a:prstGeom prst="roundRect">
            <a:avLst/>
          </a:prstGeom>
          <a:solidFill>
            <a:schemeClr val="accent6"/>
          </a:solidFill>
          <a:ln>
            <a:solidFill>
              <a:schemeClr val="bg1">
                <a:lumMod val="50000"/>
              </a:schemeClr>
            </a:solid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400" b="1">
                <a:solidFill>
                  <a:schemeClr val="lt1"/>
                </a:solidFill>
                <a:effectLst/>
                <a:latin typeface="Corbel" panose="020B0503020204020204" pitchFamily="34" charset="0"/>
                <a:ea typeface="+mn-ea"/>
                <a:cs typeface="+mn-cs"/>
              </a:rPr>
              <a:t>AVERAGE</a:t>
            </a:r>
            <a:r>
              <a:rPr lang="en-US" sz="1400" b="1" baseline="0">
                <a:solidFill>
                  <a:schemeClr val="lt1"/>
                </a:solidFill>
                <a:effectLst/>
                <a:latin typeface="Corbel" panose="020B0503020204020204" pitchFamily="34" charset="0"/>
                <a:ea typeface="+mn-ea"/>
                <a:cs typeface="+mn-cs"/>
              </a:rPr>
              <a:t>  REFUND  EU</a:t>
            </a:r>
            <a:endParaRPr lang="en-US" sz="1800">
              <a:effectLst/>
              <a:latin typeface="Corbel" panose="020B0503020204020204" pitchFamily="34" charset="0"/>
            </a:endParaRPr>
          </a:p>
        </xdr:txBody>
      </xdr:sp>
      <xdr:sp macro="" textlink="$N$10">
        <xdr:nvSpPr>
          <xdr:cNvPr id="35" name="Rectangle: Rounded Corners 34">
            <a:extLst>
              <a:ext uri="{FF2B5EF4-FFF2-40B4-BE49-F238E27FC236}">
                <a16:creationId xmlns:a16="http://schemas.microsoft.com/office/drawing/2014/main" id="{D9CB810D-281C-47D8-A9DF-48D7EF7618A8}"/>
              </a:ext>
            </a:extLst>
          </xdr:cNvPr>
          <xdr:cNvSpPr/>
        </xdr:nvSpPr>
        <xdr:spPr>
          <a:xfrm>
            <a:off x="7138682" y="856888"/>
            <a:ext cx="994358" cy="262082"/>
          </a:xfrm>
          <a:prstGeom prst="roundRect">
            <a:avLst/>
          </a:prstGeom>
          <a:solidFill>
            <a:schemeClr val="accent6"/>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9990B677-EA5B-462A-BB37-3B3D3AB3F9F2}" type="TxLink">
              <a:rPr lang="en-US" sz="2000" b="0" i="0" u="none" strike="noStrike">
                <a:solidFill>
                  <a:schemeClr val="bg1"/>
                </a:solidFill>
                <a:latin typeface="Calibri"/>
                <a:cs typeface="Calibri"/>
              </a:rPr>
              <a:pPr algn="ctr"/>
              <a:t>25.31</a:t>
            </a:fld>
            <a:r>
              <a:rPr lang="en-US" sz="2000" b="0" i="0" u="none" strike="noStrike">
                <a:solidFill>
                  <a:schemeClr val="bg1"/>
                </a:solidFill>
                <a:latin typeface="Calibri"/>
                <a:cs typeface="Calibri"/>
              </a:rPr>
              <a:t> EU</a:t>
            </a:r>
            <a:endParaRPr lang="en-US" sz="6600">
              <a:solidFill>
                <a:schemeClr val="bg1"/>
              </a:solidFill>
            </a:endParaRPr>
          </a:p>
        </xdr:txBody>
      </xdr:sp>
    </xdr:grpSp>
    <xdr:clientData/>
  </xdr:twoCellAnchor>
  <xdr:twoCellAnchor>
    <xdr:from>
      <xdr:col>0</xdr:col>
      <xdr:colOff>125940</xdr:colOff>
      <xdr:row>18</xdr:row>
      <xdr:rowOff>155044</xdr:rowOff>
    </xdr:from>
    <xdr:to>
      <xdr:col>4</xdr:col>
      <xdr:colOff>391584</xdr:colOff>
      <xdr:row>36</xdr:row>
      <xdr:rowOff>21166</xdr:rowOff>
    </xdr:to>
    <xdr:graphicFrame macro="">
      <xdr:nvGraphicFramePr>
        <xdr:cNvPr id="11" name="Chart 12">
          <a:extLst>
            <a:ext uri="{FF2B5EF4-FFF2-40B4-BE49-F238E27FC236}">
              <a16:creationId xmlns:a16="http://schemas.microsoft.com/office/drawing/2014/main" id="{F3E15322-C81B-40AA-919D-14F024CA6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592666</xdr:colOff>
      <xdr:row>18</xdr:row>
      <xdr:rowOff>166686</xdr:rowOff>
    </xdr:from>
    <xdr:to>
      <xdr:col>11</xdr:col>
      <xdr:colOff>171449</xdr:colOff>
      <xdr:row>36</xdr:row>
      <xdr:rowOff>0</xdr:rowOff>
    </xdr:to>
    <xdr:graphicFrame macro="">
      <xdr:nvGraphicFramePr>
        <xdr:cNvPr id="12" name="Chart 13">
          <a:extLst>
            <a:ext uri="{FF2B5EF4-FFF2-40B4-BE49-F238E27FC236}">
              <a16:creationId xmlns:a16="http://schemas.microsoft.com/office/drawing/2014/main" id="{A801BF93-6921-4761-BBF2-1280FB57F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485775</xdr:colOff>
      <xdr:row>18</xdr:row>
      <xdr:rowOff>171450</xdr:rowOff>
    </xdr:from>
    <xdr:to>
      <xdr:col>5</xdr:col>
      <xdr:colOff>504826</xdr:colOff>
      <xdr:row>30</xdr:row>
      <xdr:rowOff>171450</xdr:rowOff>
    </xdr:to>
    <mc:AlternateContent xmlns:mc="http://schemas.openxmlformats.org/markup-compatibility/2006" xmlns:a14="http://schemas.microsoft.com/office/drawing/2010/main">
      <mc:Choice Requires="a14">
        <xdr:graphicFrame macro="">
          <xdr:nvGraphicFramePr>
            <xdr:cNvPr id="31" name="category 1">
              <a:extLst>
                <a:ext uri="{FF2B5EF4-FFF2-40B4-BE49-F238E27FC236}">
                  <a16:creationId xmlns:a16="http://schemas.microsoft.com/office/drawing/2014/main" id="{CD3D9767-4B4E-45FE-AB13-08B5E54A435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589170" y="3510213"/>
              <a:ext cx="1262314"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819150</xdr:colOff>
      <xdr:row>7</xdr:row>
      <xdr:rowOff>66675</xdr:rowOff>
    </xdr:from>
    <xdr:to>
      <xdr:col>2</xdr:col>
      <xdr:colOff>533400</xdr:colOff>
      <xdr:row>9</xdr:row>
      <xdr:rowOff>0</xdr:rowOff>
    </xdr:to>
    <xdr:sp macro="" textlink="">
      <xdr:nvSpPr>
        <xdr:cNvPr id="3" name="Rectangle: Rounded Corners 2">
          <a:extLst>
            <a:ext uri="{FF2B5EF4-FFF2-40B4-BE49-F238E27FC236}">
              <a16:creationId xmlns:a16="http://schemas.microsoft.com/office/drawing/2014/main" id="{3292211F-78F1-4622-AFF8-55A5E1D7C469}"/>
            </a:ext>
          </a:extLst>
        </xdr:cNvPr>
        <xdr:cNvSpPr/>
      </xdr:nvSpPr>
      <xdr:spPr>
        <a:xfrm>
          <a:off x="819150" y="1314450"/>
          <a:ext cx="2209800" cy="314325"/>
        </a:xfrm>
        <a:prstGeom prst="roundRect">
          <a:avLst/>
        </a:prstGeom>
        <a:no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nchorCtr="0"/>
        <a:lstStyle/>
        <a:p>
          <a:pPr algn="l"/>
          <a:endParaRPr lang="en-US" sz="1100"/>
        </a:p>
      </xdr:txBody>
    </xdr:sp>
    <xdr:clientData/>
  </xdr:twoCellAnchor>
  <xdr:twoCellAnchor>
    <xdr:from>
      <xdr:col>0</xdr:col>
      <xdr:colOff>409576</xdr:colOff>
      <xdr:row>4</xdr:row>
      <xdr:rowOff>95251</xdr:rowOff>
    </xdr:from>
    <xdr:to>
      <xdr:col>5</xdr:col>
      <xdr:colOff>9526</xdr:colOff>
      <xdr:row>7</xdr:row>
      <xdr:rowOff>95251</xdr:rowOff>
    </xdr:to>
    <xdr:grpSp>
      <xdr:nvGrpSpPr>
        <xdr:cNvPr id="15" name="Group 14">
          <a:extLst>
            <a:ext uri="{FF2B5EF4-FFF2-40B4-BE49-F238E27FC236}">
              <a16:creationId xmlns:a16="http://schemas.microsoft.com/office/drawing/2014/main" id="{167D1D67-0A8C-438D-ACFB-E7DC9B075ED7}"/>
            </a:ext>
          </a:extLst>
        </xdr:cNvPr>
        <xdr:cNvGrpSpPr/>
      </xdr:nvGrpSpPr>
      <xdr:grpSpPr>
        <a:xfrm>
          <a:off x="409576" y="752476"/>
          <a:ext cx="4695825" cy="571500"/>
          <a:chOff x="6130879" y="1298274"/>
          <a:chExt cx="4141184" cy="866775"/>
        </a:xfrm>
      </xdr:grpSpPr>
      <xdr:sp macro="" textlink="">
        <xdr:nvSpPr>
          <xdr:cNvPr id="13" name="Rectangle: Rounded Corners 12">
            <a:extLst>
              <a:ext uri="{FF2B5EF4-FFF2-40B4-BE49-F238E27FC236}">
                <a16:creationId xmlns:a16="http://schemas.microsoft.com/office/drawing/2014/main" id="{15091236-22F5-4E08-8705-07C909F4F3B3}"/>
              </a:ext>
            </a:extLst>
          </xdr:cNvPr>
          <xdr:cNvSpPr/>
        </xdr:nvSpPr>
        <xdr:spPr>
          <a:xfrm>
            <a:off x="6130879" y="1298274"/>
            <a:ext cx="4141184" cy="866775"/>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nchorCtr="1"/>
          <a:lstStyle/>
          <a:p>
            <a:pPr algn="ctr"/>
            <a:r>
              <a:rPr lang="en-US" sz="1400" b="1" i="1" baseline="0">
                <a:ln>
                  <a:noFill/>
                </a:ln>
                <a:solidFill>
                  <a:schemeClr val="lt1"/>
                </a:solidFill>
                <a:latin typeface="Corbel" panose="020B0503020204020204" pitchFamily="34" charset="0"/>
              </a:rPr>
              <a:t>SLA BREACH% (COUNT) BY  MARKET (MINUTES)</a:t>
            </a:r>
            <a:endParaRPr lang="en-US" sz="1400" b="1" i="1">
              <a:ln>
                <a:noFill/>
              </a:ln>
              <a:solidFill>
                <a:schemeClr val="bg1"/>
              </a:solidFill>
              <a:latin typeface="Corbel" panose="020B0503020204020204" pitchFamily="34" charset="0"/>
            </a:endParaRPr>
          </a:p>
        </xdr:txBody>
      </xdr:sp>
      <xdr:sp macro="" textlink="Helper_Sheet!H20">
        <xdr:nvSpPr>
          <xdr:cNvPr id="14" name="Rectangle: Rounded Corners 13">
            <a:extLst>
              <a:ext uri="{FF2B5EF4-FFF2-40B4-BE49-F238E27FC236}">
                <a16:creationId xmlns:a16="http://schemas.microsoft.com/office/drawing/2014/main" id="{2EFE257D-B5E5-4B30-B2AB-4B5655EF3EC7}"/>
              </a:ext>
            </a:extLst>
          </xdr:cNvPr>
          <xdr:cNvSpPr/>
        </xdr:nvSpPr>
        <xdr:spPr>
          <a:xfrm>
            <a:off x="6764083" y="1776819"/>
            <a:ext cx="2670832" cy="313365"/>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noAutofit/>
          </a:bodyPr>
          <a:lstStyle/>
          <a:p>
            <a:pPr algn="l"/>
            <a:fld id="{7724B405-F79B-4DCB-BF6C-C95A832BEA77}" type="TxLink">
              <a:rPr lang="en-US" sz="1600" b="1" i="0" u="none" strike="noStrike">
                <a:solidFill>
                  <a:schemeClr val="bg1"/>
                </a:solidFill>
                <a:latin typeface="Calibri"/>
                <a:cs typeface="Calibri"/>
              </a:rPr>
              <a:pPr algn="l"/>
              <a:t>EU: 18.43% | NAM: 18.19%</a:t>
            </a:fld>
            <a:endParaRPr lang="en-US" sz="5400" b="1">
              <a:solidFill>
                <a:schemeClr val="bg1"/>
              </a:solidFill>
              <a:latin typeface="+mn-lt"/>
            </a:endParaRPr>
          </a:p>
        </xdr:txBody>
      </xdr:sp>
    </xdr:grpSp>
    <xdr:clientData/>
  </xdr:twoCellAnchor>
  <xdr:oneCellAnchor>
    <xdr:from>
      <xdr:col>3</xdr:col>
      <xdr:colOff>447675</xdr:colOff>
      <xdr:row>8</xdr:row>
      <xdr:rowOff>85725</xdr:rowOff>
    </xdr:from>
    <xdr:ext cx="184731" cy="264560"/>
    <xdr:sp macro="" textlink="">
      <xdr:nvSpPr>
        <xdr:cNvPr id="16" name="TextBox 15">
          <a:extLst>
            <a:ext uri="{FF2B5EF4-FFF2-40B4-BE49-F238E27FC236}">
              <a16:creationId xmlns:a16="http://schemas.microsoft.com/office/drawing/2014/main" id="{EAED1A01-B157-431A-B786-DA00D0F40B9C}"/>
            </a:ext>
          </a:extLst>
        </xdr:cNvPr>
        <xdr:cNvSpPr txBox="1"/>
      </xdr:nvSpPr>
      <xdr:spPr>
        <a:xfrm>
          <a:off x="4191000" y="152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304799</xdr:colOff>
      <xdr:row>7</xdr:row>
      <xdr:rowOff>152399</xdr:rowOff>
    </xdr:from>
    <xdr:to>
      <xdr:col>13</xdr:col>
      <xdr:colOff>238125</xdr:colOff>
      <xdr:row>10</xdr:row>
      <xdr:rowOff>180974</xdr:rowOff>
    </xdr:to>
    <xdr:grpSp>
      <xdr:nvGrpSpPr>
        <xdr:cNvPr id="28" name="Group 27">
          <a:extLst>
            <a:ext uri="{FF2B5EF4-FFF2-40B4-BE49-F238E27FC236}">
              <a16:creationId xmlns:a16="http://schemas.microsoft.com/office/drawing/2014/main" id="{C5B5812A-C30F-48C5-939E-E8C33426FA55}"/>
            </a:ext>
          </a:extLst>
        </xdr:cNvPr>
        <xdr:cNvGrpSpPr/>
      </xdr:nvGrpSpPr>
      <xdr:grpSpPr>
        <a:xfrm>
          <a:off x="5400674" y="1381124"/>
          <a:ext cx="4905376" cy="600075"/>
          <a:chOff x="354474" y="239732"/>
          <a:chExt cx="3629025" cy="914400"/>
        </a:xfrm>
      </xdr:grpSpPr>
      <xdr:sp macro="" textlink="">
        <xdr:nvSpPr>
          <xdr:cNvPr id="26" name="Rectangle: Rounded Corners 25">
            <a:extLst>
              <a:ext uri="{FF2B5EF4-FFF2-40B4-BE49-F238E27FC236}">
                <a16:creationId xmlns:a16="http://schemas.microsoft.com/office/drawing/2014/main" id="{9FC0EFB0-AC80-441D-B327-AF1C1F578EB1}"/>
              </a:ext>
            </a:extLst>
          </xdr:cNvPr>
          <xdr:cNvSpPr/>
        </xdr:nvSpPr>
        <xdr:spPr>
          <a:xfrm>
            <a:off x="354474" y="239732"/>
            <a:ext cx="3629025" cy="914400"/>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a:latin typeface="Corbel" panose="020B0503020204020204" pitchFamily="34" charset="0"/>
              </a:rPr>
              <a:t>  </a:t>
            </a:r>
            <a:r>
              <a:rPr lang="en-US" sz="1200" b="0" i="0" baseline="0">
                <a:latin typeface="Corbel" panose="020B0503020204020204" pitchFamily="34" charset="0"/>
              </a:rPr>
              <a:t> </a:t>
            </a:r>
            <a:r>
              <a:rPr lang="en-US" sz="1400" b="0" i="1">
                <a:latin typeface="Corbel" panose="020B0503020204020204" pitchFamily="34" charset="0"/>
              </a:rPr>
              <a:t>SLA BREACH</a:t>
            </a:r>
            <a:r>
              <a:rPr lang="en-US" sz="1400" b="0" i="1" baseline="0">
                <a:latin typeface="Corbel" panose="020B0503020204020204" pitchFamily="34" charset="0"/>
              </a:rPr>
              <a:t> % ( COUNT ) BY PROGRAM (MINUTES)</a:t>
            </a:r>
            <a:endParaRPr lang="en-US" sz="1200" b="0" i="1">
              <a:latin typeface="Corbel" panose="020B0503020204020204" pitchFamily="34" charset="0"/>
            </a:endParaRPr>
          </a:p>
        </xdr:txBody>
      </xdr:sp>
      <xdr:sp macro="" textlink="Helper_Sheet!B14">
        <xdr:nvSpPr>
          <xdr:cNvPr id="27" name="Rectangle: Rounded Corners 26">
            <a:extLst>
              <a:ext uri="{FF2B5EF4-FFF2-40B4-BE49-F238E27FC236}">
                <a16:creationId xmlns:a16="http://schemas.microsoft.com/office/drawing/2014/main" id="{EA6ACAD2-78C1-4D45-92EA-6E093F01CA3C}"/>
              </a:ext>
            </a:extLst>
          </xdr:cNvPr>
          <xdr:cNvSpPr/>
        </xdr:nvSpPr>
        <xdr:spPr>
          <a:xfrm>
            <a:off x="642785" y="689837"/>
            <a:ext cx="3130886" cy="371475"/>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fld id="{018C94C1-E82E-4DCA-B938-1BA2B98A6DDB}" type="TxLink">
              <a:rPr lang="en-US" sz="1600" b="1" i="0" u="none" strike="noStrike">
                <a:solidFill>
                  <a:schemeClr val="bg1"/>
                </a:solidFill>
                <a:latin typeface="Calibri"/>
                <a:cs typeface="Calibri"/>
              </a:rPr>
              <a:pPr algn="ctr"/>
              <a:t>OP: 22.22% | OTC: 6.51% | SAFE-T: 26.10%</a:t>
            </a:fld>
            <a:endParaRPr lang="en-US" sz="1600" b="1">
              <a:solidFill>
                <a:schemeClr val="bg1"/>
              </a:solidFill>
            </a:endParaRPr>
          </a:p>
        </xdr:txBody>
      </xdr:sp>
    </xdr:grpSp>
    <xdr:clientData/>
  </xdr:twoCellAnchor>
  <xdr:twoCellAnchor>
    <xdr:from>
      <xdr:col>0</xdr:col>
      <xdr:colOff>466725</xdr:colOff>
      <xdr:row>7</xdr:row>
      <xdr:rowOff>171450</xdr:rowOff>
    </xdr:from>
    <xdr:to>
      <xdr:col>5</xdr:col>
      <xdr:colOff>19051</xdr:colOff>
      <xdr:row>11</xdr:row>
      <xdr:rowOff>9525</xdr:rowOff>
    </xdr:to>
    <xdr:grpSp>
      <xdr:nvGrpSpPr>
        <xdr:cNvPr id="29" name="Group 28">
          <a:extLst>
            <a:ext uri="{FF2B5EF4-FFF2-40B4-BE49-F238E27FC236}">
              <a16:creationId xmlns:a16="http://schemas.microsoft.com/office/drawing/2014/main" id="{AB8E71BB-98BA-4B79-A451-594D85D272EA}"/>
            </a:ext>
          </a:extLst>
        </xdr:cNvPr>
        <xdr:cNvGrpSpPr/>
      </xdr:nvGrpSpPr>
      <xdr:grpSpPr>
        <a:xfrm>
          <a:off x="466725" y="1400175"/>
          <a:ext cx="4648201" cy="600075"/>
          <a:chOff x="6081284" y="1185216"/>
          <a:chExt cx="4141184" cy="866775"/>
        </a:xfrm>
      </xdr:grpSpPr>
      <xdr:sp macro="" textlink="">
        <xdr:nvSpPr>
          <xdr:cNvPr id="30" name="Rectangle: Rounded Corners 29">
            <a:extLst>
              <a:ext uri="{FF2B5EF4-FFF2-40B4-BE49-F238E27FC236}">
                <a16:creationId xmlns:a16="http://schemas.microsoft.com/office/drawing/2014/main" id="{85295C7D-BA4E-4E19-A398-FDBF61269C18}"/>
              </a:ext>
            </a:extLst>
          </xdr:cNvPr>
          <xdr:cNvSpPr/>
        </xdr:nvSpPr>
        <xdr:spPr>
          <a:xfrm>
            <a:off x="6081284" y="1185216"/>
            <a:ext cx="4141184" cy="866775"/>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nchorCtr="1"/>
          <a:lstStyle/>
          <a:p>
            <a:pPr algn="ctr"/>
            <a:r>
              <a:rPr lang="en-US" sz="1400" b="1" i="1" baseline="0">
                <a:ln>
                  <a:noFill/>
                </a:ln>
                <a:solidFill>
                  <a:schemeClr val="lt1"/>
                </a:solidFill>
                <a:latin typeface="Corbel" panose="020B0503020204020204" pitchFamily="34" charset="0"/>
              </a:rPr>
              <a:t>SLA BREACH% (COUNT) BY  PROGRAM (DAYS)</a:t>
            </a:r>
            <a:endParaRPr lang="en-US" sz="1400" b="1" i="1">
              <a:ln>
                <a:noFill/>
              </a:ln>
              <a:solidFill>
                <a:schemeClr val="bg1"/>
              </a:solidFill>
              <a:latin typeface="Corbel" panose="020B0503020204020204" pitchFamily="34" charset="0"/>
            </a:endParaRPr>
          </a:p>
        </xdr:txBody>
      </xdr:sp>
      <xdr:sp macro="" textlink="Pivot_calc!B33">
        <xdr:nvSpPr>
          <xdr:cNvPr id="31" name="Rectangle: Rounded Corners 30">
            <a:extLst>
              <a:ext uri="{FF2B5EF4-FFF2-40B4-BE49-F238E27FC236}">
                <a16:creationId xmlns:a16="http://schemas.microsoft.com/office/drawing/2014/main" id="{2B912C57-5948-4FF8-BC18-E60079FB0743}"/>
              </a:ext>
            </a:extLst>
          </xdr:cNvPr>
          <xdr:cNvSpPr/>
        </xdr:nvSpPr>
        <xdr:spPr>
          <a:xfrm>
            <a:off x="6392374" y="1618359"/>
            <a:ext cx="3295473" cy="309807"/>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noAutofit/>
          </a:bodyPr>
          <a:lstStyle/>
          <a:p>
            <a:pPr algn="l"/>
            <a:fld id="{FF7ABA72-744E-451F-822B-B9703AB5CC7F}" type="TxLink">
              <a:rPr lang="en-US" sz="1400" b="1" i="0" u="none" strike="noStrike">
                <a:solidFill>
                  <a:schemeClr val="bg1"/>
                </a:solidFill>
                <a:latin typeface="Calibri"/>
                <a:cs typeface="Calibri"/>
              </a:rPr>
              <a:pPr algn="l"/>
              <a:t>OP: 13.84% | OTC: 25.44% | SAFE-T: 23.90%</a:t>
            </a:fld>
            <a:endParaRPr lang="en-US" sz="6600" b="1">
              <a:solidFill>
                <a:schemeClr val="bg1"/>
              </a:solidFill>
              <a:latin typeface="+mn-lt"/>
            </a:endParaRPr>
          </a:p>
        </xdr:txBody>
      </xdr:sp>
    </xdr:grpSp>
    <xdr:clientData/>
  </xdr:twoCellAnchor>
  <xdr:twoCellAnchor>
    <xdr:from>
      <xdr:col>6</xdr:col>
      <xdr:colOff>19049</xdr:colOff>
      <xdr:row>4</xdr:row>
      <xdr:rowOff>76202</xdr:rowOff>
    </xdr:from>
    <xdr:to>
      <xdr:col>13</xdr:col>
      <xdr:colOff>209550</xdr:colOff>
      <xdr:row>7</xdr:row>
      <xdr:rowOff>85726</xdr:rowOff>
    </xdr:to>
    <xdr:grpSp>
      <xdr:nvGrpSpPr>
        <xdr:cNvPr id="33" name="Group 32">
          <a:extLst>
            <a:ext uri="{FF2B5EF4-FFF2-40B4-BE49-F238E27FC236}">
              <a16:creationId xmlns:a16="http://schemas.microsoft.com/office/drawing/2014/main" id="{C1BD1CA0-8FC1-45D9-8B79-A7F127759A11}"/>
            </a:ext>
          </a:extLst>
        </xdr:cNvPr>
        <xdr:cNvGrpSpPr/>
      </xdr:nvGrpSpPr>
      <xdr:grpSpPr>
        <a:xfrm>
          <a:off x="5419724" y="733427"/>
          <a:ext cx="4857751" cy="581024"/>
          <a:chOff x="6162311" y="1091283"/>
          <a:chExt cx="4141184" cy="866775"/>
        </a:xfrm>
      </xdr:grpSpPr>
      <xdr:sp macro="" textlink="">
        <xdr:nvSpPr>
          <xdr:cNvPr id="34" name="Rectangle: Rounded Corners 33">
            <a:extLst>
              <a:ext uri="{FF2B5EF4-FFF2-40B4-BE49-F238E27FC236}">
                <a16:creationId xmlns:a16="http://schemas.microsoft.com/office/drawing/2014/main" id="{58D769ED-0A52-4F9C-B186-2B6531C084D9}"/>
              </a:ext>
            </a:extLst>
          </xdr:cNvPr>
          <xdr:cNvSpPr/>
        </xdr:nvSpPr>
        <xdr:spPr>
          <a:xfrm>
            <a:off x="6162311" y="1091283"/>
            <a:ext cx="4141184" cy="866775"/>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nchorCtr="1"/>
          <a:lstStyle/>
          <a:p>
            <a:pPr algn="ctr"/>
            <a:r>
              <a:rPr lang="en-US" sz="1400" b="1" i="1" baseline="0">
                <a:ln>
                  <a:noFill/>
                </a:ln>
                <a:solidFill>
                  <a:schemeClr val="lt1"/>
                </a:solidFill>
                <a:latin typeface="Corbel" panose="020B0503020204020204" pitchFamily="34" charset="0"/>
              </a:rPr>
              <a:t>SLA BREACH% (COUNT) BY  MARKET (DAYS)</a:t>
            </a:r>
            <a:endParaRPr lang="en-US" sz="1400" b="1" i="1">
              <a:ln>
                <a:noFill/>
              </a:ln>
              <a:solidFill>
                <a:schemeClr val="bg1"/>
              </a:solidFill>
              <a:latin typeface="Corbel" panose="020B0503020204020204" pitchFamily="34" charset="0"/>
            </a:endParaRPr>
          </a:p>
        </xdr:txBody>
      </xdr:sp>
      <xdr:sp macro="" textlink="Pivot_calc!H33">
        <xdr:nvSpPr>
          <xdr:cNvPr id="35" name="Rectangle: Rounded Corners 34">
            <a:extLst>
              <a:ext uri="{FF2B5EF4-FFF2-40B4-BE49-F238E27FC236}">
                <a16:creationId xmlns:a16="http://schemas.microsoft.com/office/drawing/2014/main" id="{BB918F2B-90F4-4444-A039-0B5DB9B93C4B}"/>
              </a:ext>
            </a:extLst>
          </xdr:cNvPr>
          <xdr:cNvSpPr/>
        </xdr:nvSpPr>
        <xdr:spPr>
          <a:xfrm>
            <a:off x="6733607" y="1512059"/>
            <a:ext cx="2670832" cy="313365"/>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noAutofit/>
          </a:bodyPr>
          <a:lstStyle/>
          <a:p>
            <a:pPr algn="l"/>
            <a:fld id="{67731667-17CA-40B8-A9A4-FA81E08DEBA7}" type="TxLink">
              <a:rPr lang="en-US" sz="1400" b="1" i="0" u="none" strike="noStrike">
                <a:solidFill>
                  <a:schemeClr val="bg1"/>
                </a:solidFill>
                <a:latin typeface="Calibri"/>
                <a:cs typeface="Calibri"/>
              </a:rPr>
              <a:pPr algn="l"/>
              <a:t>EU: 20.69% | NAM: 21.43%</a:t>
            </a:fld>
            <a:endParaRPr lang="en-US" sz="6600" b="1">
              <a:solidFill>
                <a:schemeClr val="bg1"/>
              </a:solidFill>
              <a:latin typeface="+mn-lt"/>
            </a:endParaRPr>
          </a:p>
        </xdr:txBody>
      </xdr:sp>
    </xdr:grpSp>
    <xdr:clientData/>
  </xdr:twoCellAnchor>
  <xdr:twoCellAnchor>
    <xdr:from>
      <xdr:col>6</xdr:col>
      <xdr:colOff>0</xdr:colOff>
      <xdr:row>13</xdr:row>
      <xdr:rowOff>190499</xdr:rowOff>
    </xdr:from>
    <xdr:to>
      <xdr:col>13</xdr:col>
      <xdr:colOff>400050</xdr:colOff>
      <xdr:row>29</xdr:row>
      <xdr:rowOff>9524</xdr:rowOff>
    </xdr:to>
    <xdr:graphicFrame macro="">
      <xdr:nvGraphicFramePr>
        <xdr:cNvPr id="36" name="Chart 15">
          <a:extLst>
            <a:ext uri="{FF2B5EF4-FFF2-40B4-BE49-F238E27FC236}">
              <a16:creationId xmlns:a16="http://schemas.microsoft.com/office/drawing/2014/main" id="{6D9478D5-7DAF-4B2C-89F9-5627E6563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276225</xdr:colOff>
      <xdr:row>13</xdr:row>
      <xdr:rowOff>180975</xdr:rowOff>
    </xdr:from>
    <xdr:to>
      <xdr:col>5</xdr:col>
      <xdr:colOff>0</xdr:colOff>
      <xdr:row>28</xdr:row>
      <xdr:rowOff>180975</xdr:rowOff>
    </xdr:to>
    <xdr:graphicFrame macro="">
      <xdr:nvGraphicFramePr>
        <xdr:cNvPr id="37" name="Chart 17">
          <a:extLst>
            <a:ext uri="{FF2B5EF4-FFF2-40B4-BE49-F238E27FC236}">
              <a16:creationId xmlns:a16="http://schemas.microsoft.com/office/drawing/2014/main" id="{084217E9-C8CC-48CC-A94D-FA6893F93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95249</xdr:colOff>
      <xdr:row>29</xdr:row>
      <xdr:rowOff>85725</xdr:rowOff>
    </xdr:from>
    <xdr:to>
      <xdr:col>13</xdr:col>
      <xdr:colOff>314324</xdr:colOff>
      <xdr:row>33</xdr:row>
      <xdr:rowOff>114300</xdr:rowOff>
    </xdr:to>
    <xdr:grpSp>
      <xdr:nvGrpSpPr>
        <xdr:cNvPr id="38" name="Group 37">
          <a:extLst>
            <a:ext uri="{FF2B5EF4-FFF2-40B4-BE49-F238E27FC236}">
              <a16:creationId xmlns:a16="http://schemas.microsoft.com/office/drawing/2014/main" id="{B0118CE9-FF20-4967-9A17-A2E086114EE1}"/>
            </a:ext>
          </a:extLst>
        </xdr:cNvPr>
        <xdr:cNvGrpSpPr/>
      </xdr:nvGrpSpPr>
      <xdr:grpSpPr>
        <a:xfrm>
          <a:off x="5495924" y="5391150"/>
          <a:ext cx="4886325" cy="800100"/>
          <a:chOff x="6210060" y="2005642"/>
          <a:chExt cx="4141184" cy="866775"/>
        </a:xfrm>
      </xdr:grpSpPr>
      <xdr:sp macro="" textlink="">
        <xdr:nvSpPr>
          <xdr:cNvPr id="39" name="Rectangle: Rounded Corners 38">
            <a:extLst>
              <a:ext uri="{FF2B5EF4-FFF2-40B4-BE49-F238E27FC236}">
                <a16:creationId xmlns:a16="http://schemas.microsoft.com/office/drawing/2014/main" id="{C3FFB305-29A3-41EA-8397-82DD15193114}"/>
              </a:ext>
            </a:extLst>
          </xdr:cNvPr>
          <xdr:cNvSpPr/>
        </xdr:nvSpPr>
        <xdr:spPr>
          <a:xfrm>
            <a:off x="6210060" y="2005642"/>
            <a:ext cx="4141184" cy="866775"/>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nchorCtr="1"/>
          <a:lstStyle/>
          <a:p>
            <a:pPr algn="ctr"/>
            <a:r>
              <a:rPr lang="en-US" sz="1600" b="1" i="1" baseline="0">
                <a:ln>
                  <a:noFill/>
                </a:ln>
                <a:solidFill>
                  <a:schemeClr val="lt1"/>
                </a:solidFill>
                <a:latin typeface="Corbel" panose="020B0503020204020204" pitchFamily="34" charset="0"/>
              </a:rPr>
              <a:t>Correlation (Handling Time vs </a:t>
            </a:r>
            <a:r>
              <a:rPr lang="en-US" sz="1400" b="1" i="1" baseline="0">
                <a:ln>
                  <a:noFill/>
                </a:ln>
                <a:solidFill>
                  <a:schemeClr val="lt1"/>
                </a:solidFill>
                <a:latin typeface="Corbel" panose="020B0503020204020204" pitchFamily="34" charset="0"/>
              </a:rPr>
              <a:t>Refund</a:t>
            </a:r>
            <a:r>
              <a:rPr lang="en-US" sz="1600" b="1" i="1" baseline="0">
                <a:ln>
                  <a:noFill/>
                </a:ln>
                <a:solidFill>
                  <a:schemeClr val="lt1"/>
                </a:solidFill>
                <a:latin typeface="Corbel" panose="020B0503020204020204" pitchFamily="34" charset="0"/>
              </a:rPr>
              <a:t> Amount)</a:t>
            </a:r>
            <a:endParaRPr lang="en-US" sz="1600" b="1" i="1">
              <a:ln>
                <a:noFill/>
              </a:ln>
              <a:solidFill>
                <a:schemeClr val="bg1"/>
              </a:solidFill>
              <a:latin typeface="Corbel" panose="020B0503020204020204" pitchFamily="34" charset="0"/>
            </a:endParaRPr>
          </a:p>
        </xdr:txBody>
      </xdr:sp>
      <xdr:sp macro="" textlink="Pivot_calc!C60">
        <xdr:nvSpPr>
          <xdr:cNvPr id="40" name="Rectangle: Rounded Corners 39">
            <a:extLst>
              <a:ext uri="{FF2B5EF4-FFF2-40B4-BE49-F238E27FC236}">
                <a16:creationId xmlns:a16="http://schemas.microsoft.com/office/drawing/2014/main" id="{029E8A6A-CCAF-4F61-A7A1-7D1FAFBED22C}"/>
              </a:ext>
            </a:extLst>
          </xdr:cNvPr>
          <xdr:cNvSpPr/>
        </xdr:nvSpPr>
        <xdr:spPr>
          <a:xfrm>
            <a:off x="6797836" y="2329117"/>
            <a:ext cx="2994562" cy="306908"/>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noAutofit/>
          </a:bodyPr>
          <a:lstStyle/>
          <a:p>
            <a:pPr algn="l"/>
            <a:fld id="{22F35588-CBBA-438B-85E9-630AAFD561C9}" type="TxLink">
              <a:rPr lang="en-US" sz="1600" b="1" i="0" u="none" strike="noStrike">
                <a:solidFill>
                  <a:schemeClr val="bg1"/>
                </a:solidFill>
                <a:latin typeface="Calibri"/>
                <a:cs typeface="Calibri"/>
              </a:rPr>
              <a:pPr algn="l"/>
              <a:t>OP: 0.053 | OTC: 0.022 | SAFE-T: 0.004</a:t>
            </a:fld>
            <a:endParaRPr lang="en-US" sz="8800" b="1">
              <a:solidFill>
                <a:schemeClr val="bg1"/>
              </a:solidFill>
              <a:latin typeface="+mn-l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39157</xdr:colOff>
      <xdr:row>11</xdr:row>
      <xdr:rowOff>179917</xdr:rowOff>
    </xdr:from>
    <xdr:to>
      <xdr:col>7</xdr:col>
      <xdr:colOff>0</xdr:colOff>
      <xdr:row>24</xdr:row>
      <xdr:rowOff>84667</xdr:rowOff>
    </xdr:to>
    <xdr:graphicFrame macro="">
      <xdr:nvGraphicFramePr>
        <xdr:cNvPr id="5" name="Chart 27">
          <a:extLst>
            <a:ext uri="{FF2B5EF4-FFF2-40B4-BE49-F238E27FC236}">
              <a16:creationId xmlns:a16="http://schemas.microsoft.com/office/drawing/2014/main" id="{115C7815-439A-4DF9-894E-45808BE98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219074</xdr:colOff>
      <xdr:row>28</xdr:row>
      <xdr:rowOff>9525</xdr:rowOff>
    </xdr:from>
    <xdr:to>
      <xdr:col>13</xdr:col>
      <xdr:colOff>981074</xdr:colOff>
      <xdr:row>42</xdr:row>
      <xdr:rowOff>133350</xdr:rowOff>
    </xdr:to>
    <xdr:graphicFrame macro="">
      <xdr:nvGraphicFramePr>
        <xdr:cNvPr id="6" name="Chart 25">
          <a:extLst>
            <a:ext uri="{FF2B5EF4-FFF2-40B4-BE49-F238E27FC236}">
              <a16:creationId xmlns:a16="http://schemas.microsoft.com/office/drawing/2014/main" id="{A8803E6A-2532-4B36-B3D0-CF1132F0B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247651</xdr:colOff>
      <xdr:row>50</xdr:row>
      <xdr:rowOff>152399</xdr:rowOff>
    </xdr:from>
    <xdr:to>
      <xdr:col>6</xdr:col>
      <xdr:colOff>542925</xdr:colOff>
      <xdr:row>62</xdr:row>
      <xdr:rowOff>142874</xdr:rowOff>
    </xdr:to>
    <xdr:graphicFrame macro="">
      <xdr:nvGraphicFramePr>
        <xdr:cNvPr id="17" name="Chart 1">
          <a:extLst>
            <a:ext uri="{FF2B5EF4-FFF2-40B4-BE49-F238E27FC236}">
              <a16:creationId xmlns:a16="http://schemas.microsoft.com/office/drawing/2014/main" id="{F4A2D749-DCB0-4CD1-913E-0A70C12EF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493059</xdr:colOff>
          <xdr:row>45</xdr:row>
          <xdr:rowOff>91330</xdr:rowOff>
        </xdr:from>
        <xdr:to>
          <xdr:col>6</xdr:col>
          <xdr:colOff>61201</xdr:colOff>
          <xdr:row>49</xdr:row>
          <xdr:rowOff>156884</xdr:rowOff>
        </xdr:to>
        <xdr:pic>
          <xdr:nvPicPr>
            <xdr:cNvPr id="21" name="Picture 20">
              <a:extLst>
                <a:ext uri="{FF2B5EF4-FFF2-40B4-BE49-F238E27FC236}">
                  <a16:creationId xmlns:a16="http://schemas.microsoft.com/office/drawing/2014/main" id="{FAE8173F-97B6-4095-A20C-2600DD6F909B}"/>
                </a:ext>
              </a:extLst>
            </xdr:cNvPr>
            <xdr:cNvPicPr>
              <a:picLocks noChangeAspect="1" noChangeArrowheads="1"/>
              <a:extLst>
                <a:ext uri="{84589F7E-364E-4C9E-8A38-B11213B215E9}">
                  <a14:cameraTool cellRange="Pivot_calc!$B$178:$E$181" spid="_x0000_s13404"/>
                </a:ext>
              </a:extLst>
            </xdr:cNvPicPr>
          </xdr:nvPicPr>
          <xdr:blipFill>
            <a:blip xmlns:r="http://schemas.openxmlformats.org/officeDocument/2006/relationships" r:embed="rId4"/>
            <a:srcRect/>
            <a:stretch>
              <a:fillRect/>
            </a:stretch>
          </xdr:blipFill>
          <xdr:spPr bwMode="auto">
            <a:xfrm>
              <a:off x="493059" y="8495742"/>
              <a:ext cx="6123583" cy="82755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215348</xdr:colOff>
          <xdr:row>13</xdr:row>
          <xdr:rowOff>182218</xdr:rowOff>
        </xdr:from>
        <xdr:to>
          <xdr:col>14</xdr:col>
          <xdr:colOff>5936</xdr:colOff>
          <xdr:row>24</xdr:row>
          <xdr:rowOff>96493</xdr:rowOff>
        </xdr:to>
        <xdr:pic>
          <xdr:nvPicPr>
            <xdr:cNvPr id="25" name="Picture 24">
              <a:extLst>
                <a:ext uri="{FF2B5EF4-FFF2-40B4-BE49-F238E27FC236}">
                  <a16:creationId xmlns:a16="http://schemas.microsoft.com/office/drawing/2014/main" id="{34424910-9401-432C-9372-73CF72A76A25}"/>
                </a:ext>
              </a:extLst>
            </xdr:cNvPr>
            <xdr:cNvPicPr>
              <a:picLocks noChangeAspect="1" noChangeArrowheads="1"/>
              <a:extLst>
                <a:ext uri="{84589F7E-364E-4C9E-8A38-B11213B215E9}">
                  <a14:cameraTool cellRange="Pivot_calc!$B$84:$F$94" spid="_x0000_s13405"/>
                </a:ext>
              </a:extLst>
            </xdr:cNvPicPr>
          </xdr:nvPicPr>
          <xdr:blipFill>
            <a:blip xmlns:r="http://schemas.openxmlformats.org/officeDocument/2006/relationships" r:embed="rId5"/>
            <a:srcRect/>
            <a:stretch>
              <a:fillRect/>
            </a:stretch>
          </xdr:blipFill>
          <xdr:spPr bwMode="auto">
            <a:xfrm>
              <a:off x="7479196" y="2542761"/>
              <a:ext cx="7311197" cy="20097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182335</xdr:colOff>
          <xdr:row>45</xdr:row>
          <xdr:rowOff>70685</xdr:rowOff>
        </xdr:from>
        <xdr:to>
          <xdr:col>13</xdr:col>
          <xdr:colOff>809625</xdr:colOff>
          <xdr:row>62</xdr:row>
          <xdr:rowOff>108786</xdr:rowOff>
        </xdr:to>
        <xdr:pic>
          <xdr:nvPicPr>
            <xdr:cNvPr id="29" name="Picture 28">
              <a:extLst>
                <a:ext uri="{FF2B5EF4-FFF2-40B4-BE49-F238E27FC236}">
                  <a16:creationId xmlns:a16="http://schemas.microsoft.com/office/drawing/2014/main" id="{833D94C1-9212-471A-A9D9-93A5AAE686FB}"/>
                </a:ext>
              </a:extLst>
            </xdr:cNvPr>
            <xdr:cNvPicPr>
              <a:picLocks noChangeAspect="1" noChangeArrowheads="1"/>
              <a:extLst>
                <a:ext uri="{84589F7E-364E-4C9E-8A38-B11213B215E9}">
                  <a14:cameraTool cellRange="Pivot_calc!$B$191:$E$205" spid="_x0000_s13406"/>
                </a:ext>
              </a:extLst>
            </xdr:cNvPicPr>
          </xdr:nvPicPr>
          <xdr:blipFill>
            <a:blip xmlns:r="http://schemas.openxmlformats.org/officeDocument/2006/relationships" r:embed="rId6"/>
            <a:srcRect/>
            <a:stretch>
              <a:fillRect/>
            </a:stretch>
          </xdr:blipFill>
          <xdr:spPr bwMode="auto">
            <a:xfrm>
              <a:off x="7682019" y="8542922"/>
              <a:ext cx="6773422" cy="327660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266699</xdr:colOff>
      <xdr:row>5</xdr:row>
      <xdr:rowOff>76200</xdr:rowOff>
    </xdr:from>
    <xdr:to>
      <xdr:col>4</xdr:col>
      <xdr:colOff>457200</xdr:colOff>
      <xdr:row>8</xdr:row>
      <xdr:rowOff>200025</xdr:rowOff>
    </xdr:to>
    <xdr:grpSp>
      <xdr:nvGrpSpPr>
        <xdr:cNvPr id="31" name="Group 30">
          <a:extLst>
            <a:ext uri="{FF2B5EF4-FFF2-40B4-BE49-F238E27FC236}">
              <a16:creationId xmlns:a16="http://schemas.microsoft.com/office/drawing/2014/main" id="{CDA8EB11-0346-4134-B4E7-C52F3C2F3B81}"/>
            </a:ext>
          </a:extLst>
        </xdr:cNvPr>
        <xdr:cNvGrpSpPr/>
      </xdr:nvGrpSpPr>
      <xdr:grpSpPr>
        <a:xfrm>
          <a:off x="266699" y="981075"/>
          <a:ext cx="5322095" cy="695325"/>
          <a:chOff x="571499" y="914400"/>
          <a:chExt cx="5314951" cy="695325"/>
        </a:xfrm>
      </xdr:grpSpPr>
      <xdr:sp macro="" textlink="">
        <xdr:nvSpPr>
          <xdr:cNvPr id="2" name="Rectangle: Rounded Corners 1">
            <a:extLst>
              <a:ext uri="{FF2B5EF4-FFF2-40B4-BE49-F238E27FC236}">
                <a16:creationId xmlns:a16="http://schemas.microsoft.com/office/drawing/2014/main" id="{2EF79AE2-2092-45C2-8DA6-CF5A259AC391}"/>
              </a:ext>
            </a:extLst>
          </xdr:cNvPr>
          <xdr:cNvSpPr/>
        </xdr:nvSpPr>
        <xdr:spPr>
          <a:xfrm>
            <a:off x="571499" y="914400"/>
            <a:ext cx="5314951" cy="695325"/>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400" b="0" i="0">
                <a:latin typeface="Corbel" panose="020B0503020204020204" pitchFamily="34" charset="0"/>
              </a:rPr>
              <a:t>  </a:t>
            </a:r>
            <a:r>
              <a:rPr lang="en-US" sz="1400" b="0" i="0" baseline="0">
                <a:latin typeface="Corbel" panose="020B0503020204020204" pitchFamily="34" charset="0"/>
              </a:rPr>
              <a:t> </a:t>
            </a:r>
            <a:r>
              <a:rPr lang="en-US" sz="1600" b="0" i="1" baseline="0">
                <a:latin typeface="Corbel" panose="020B0503020204020204" pitchFamily="34" charset="0"/>
              </a:rPr>
              <a:t>FRAUD REFUND SHARE % </a:t>
            </a:r>
            <a:endParaRPr lang="en-US" sz="1400" b="0" i="1">
              <a:latin typeface="Corbel" panose="020B0503020204020204" pitchFamily="34" charset="0"/>
            </a:endParaRPr>
          </a:p>
        </xdr:txBody>
      </xdr:sp>
      <xdr:sp macro="" textlink="Pivot_calc!B108">
        <xdr:nvSpPr>
          <xdr:cNvPr id="30" name="Rectangle: Rounded Corners 29">
            <a:extLst>
              <a:ext uri="{FF2B5EF4-FFF2-40B4-BE49-F238E27FC236}">
                <a16:creationId xmlns:a16="http://schemas.microsoft.com/office/drawing/2014/main" id="{ADCF3183-7CBF-4E5B-83EA-185AA7AA44A0}"/>
              </a:ext>
            </a:extLst>
          </xdr:cNvPr>
          <xdr:cNvSpPr/>
        </xdr:nvSpPr>
        <xdr:spPr>
          <a:xfrm>
            <a:off x="790575" y="1295401"/>
            <a:ext cx="4838700" cy="209550"/>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12442AC5-1748-49A1-9978-F80152877B97}" type="TxLink">
              <a:rPr lang="en-US" sz="1600" b="0" i="0" u="none" strike="noStrike">
                <a:solidFill>
                  <a:schemeClr val="bg1"/>
                </a:solidFill>
                <a:latin typeface="Calibri"/>
                <a:cs typeface="Calibri"/>
              </a:rPr>
              <a:pPr algn="ctr"/>
              <a:t>OP: 36.27% | OTC: 48.61% | SAFE-T: 48.64%</a:t>
            </a:fld>
            <a:endParaRPr lang="en-US" sz="1600">
              <a:solidFill>
                <a:schemeClr val="bg1"/>
              </a:solidFill>
            </a:endParaRPr>
          </a:p>
        </xdr:txBody>
      </xdr:sp>
    </xdr:grpSp>
    <xdr:clientData/>
  </xdr:twoCellAnchor>
  <xdr:twoCellAnchor>
    <xdr:from>
      <xdr:col>9</xdr:col>
      <xdr:colOff>741891</xdr:colOff>
      <xdr:row>5</xdr:row>
      <xdr:rowOff>45508</xdr:rowOff>
    </xdr:from>
    <xdr:to>
      <xdr:col>13</xdr:col>
      <xdr:colOff>941917</xdr:colOff>
      <xdr:row>8</xdr:row>
      <xdr:rowOff>169333</xdr:rowOff>
    </xdr:to>
    <xdr:grpSp>
      <xdr:nvGrpSpPr>
        <xdr:cNvPr id="32" name="Group 31">
          <a:extLst>
            <a:ext uri="{FF2B5EF4-FFF2-40B4-BE49-F238E27FC236}">
              <a16:creationId xmlns:a16="http://schemas.microsoft.com/office/drawing/2014/main" id="{141CD5A6-2DB7-4B77-97D8-59B845AD01E3}"/>
            </a:ext>
          </a:extLst>
        </xdr:cNvPr>
        <xdr:cNvGrpSpPr/>
      </xdr:nvGrpSpPr>
      <xdr:grpSpPr>
        <a:xfrm>
          <a:off x="9278672" y="950383"/>
          <a:ext cx="5307808" cy="695325"/>
          <a:chOff x="571499" y="914400"/>
          <a:chExt cx="5314951" cy="695325"/>
        </a:xfrm>
      </xdr:grpSpPr>
      <xdr:sp macro="" textlink="">
        <xdr:nvSpPr>
          <xdr:cNvPr id="33" name="Rectangle: Rounded Corners 32">
            <a:extLst>
              <a:ext uri="{FF2B5EF4-FFF2-40B4-BE49-F238E27FC236}">
                <a16:creationId xmlns:a16="http://schemas.microsoft.com/office/drawing/2014/main" id="{615AD134-FD82-4580-8979-B286DFE0A759}"/>
              </a:ext>
            </a:extLst>
          </xdr:cNvPr>
          <xdr:cNvSpPr/>
        </xdr:nvSpPr>
        <xdr:spPr>
          <a:xfrm>
            <a:off x="571499" y="914400"/>
            <a:ext cx="5314951" cy="695325"/>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latin typeface="Corbel" panose="020B0503020204020204" pitchFamily="34" charset="0"/>
              </a:rPr>
              <a:t>  </a:t>
            </a:r>
            <a:r>
              <a:rPr lang="en-US" sz="1400" b="0" i="0" baseline="0">
                <a:latin typeface="Corbel" panose="020B0503020204020204" pitchFamily="34" charset="0"/>
              </a:rPr>
              <a:t> </a:t>
            </a:r>
            <a:r>
              <a:rPr lang="en-US" sz="1600" b="0" i="1" baseline="0">
                <a:latin typeface="Corbel" panose="020B0503020204020204" pitchFamily="34" charset="0"/>
              </a:rPr>
              <a:t>AVERAGE FRAUD IMPACT INDEX</a:t>
            </a:r>
            <a:endParaRPr lang="en-US" sz="1400" b="0" i="1">
              <a:latin typeface="Corbel" panose="020B0503020204020204" pitchFamily="34" charset="0"/>
            </a:endParaRPr>
          </a:p>
        </xdr:txBody>
      </xdr:sp>
      <xdr:sp macro="" textlink="Pivot_calc!G109">
        <xdr:nvSpPr>
          <xdr:cNvPr id="34" name="Rectangle: Rounded Corners 33">
            <a:extLst>
              <a:ext uri="{FF2B5EF4-FFF2-40B4-BE49-F238E27FC236}">
                <a16:creationId xmlns:a16="http://schemas.microsoft.com/office/drawing/2014/main" id="{35190A56-9BFC-43F6-B5EE-AFBE117C217D}"/>
              </a:ext>
            </a:extLst>
          </xdr:cNvPr>
          <xdr:cNvSpPr/>
        </xdr:nvSpPr>
        <xdr:spPr>
          <a:xfrm>
            <a:off x="832849" y="1295401"/>
            <a:ext cx="4838700" cy="2095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4D43E9B-3F0A-49FE-BA09-DDEAB3122D6D}" type="TxLink">
              <a:rPr lang="en-US" sz="1600" b="0" i="0" u="none" strike="noStrike">
                <a:solidFill>
                  <a:schemeClr val="bg1"/>
                </a:solidFill>
                <a:latin typeface="Calibri"/>
                <a:cs typeface="Calibri"/>
              </a:rPr>
              <a:pPr algn="ctr"/>
              <a:t>OP: 11.12% | OTC: 17.30% | SAFE-T: 17.46%</a:t>
            </a:fld>
            <a:endParaRPr lang="en-US" sz="2400">
              <a:solidFill>
                <a:schemeClr val="bg1"/>
              </a:solidFill>
            </a:endParaRPr>
          </a:p>
        </xdr:txBody>
      </xdr:sp>
    </xdr:grpSp>
    <xdr:clientData/>
  </xdr:twoCellAnchor>
  <xdr:twoCellAnchor>
    <xdr:from>
      <xdr:col>4</xdr:col>
      <xdr:colOff>666749</xdr:colOff>
      <xdr:row>5</xdr:row>
      <xdr:rowOff>63502</xdr:rowOff>
    </xdr:from>
    <xdr:to>
      <xdr:col>9</xdr:col>
      <xdr:colOff>592666</xdr:colOff>
      <xdr:row>8</xdr:row>
      <xdr:rowOff>190500</xdr:rowOff>
    </xdr:to>
    <xdr:grpSp>
      <xdr:nvGrpSpPr>
        <xdr:cNvPr id="35" name="Group 34">
          <a:extLst>
            <a:ext uri="{FF2B5EF4-FFF2-40B4-BE49-F238E27FC236}">
              <a16:creationId xmlns:a16="http://schemas.microsoft.com/office/drawing/2014/main" id="{AC1726A1-5BC4-411C-A754-F68792EEC057}"/>
            </a:ext>
          </a:extLst>
        </xdr:cNvPr>
        <xdr:cNvGrpSpPr/>
      </xdr:nvGrpSpPr>
      <xdr:grpSpPr>
        <a:xfrm>
          <a:off x="5798343" y="968377"/>
          <a:ext cx="3331104" cy="698498"/>
          <a:chOff x="571499" y="914400"/>
          <a:chExt cx="5314951" cy="695325"/>
        </a:xfrm>
      </xdr:grpSpPr>
      <xdr:sp macro="" textlink="">
        <xdr:nvSpPr>
          <xdr:cNvPr id="36" name="Rectangle: Rounded Corners 35">
            <a:extLst>
              <a:ext uri="{FF2B5EF4-FFF2-40B4-BE49-F238E27FC236}">
                <a16:creationId xmlns:a16="http://schemas.microsoft.com/office/drawing/2014/main" id="{CCB8ACA2-7553-418A-81CF-9C7CA494A680}"/>
              </a:ext>
            </a:extLst>
          </xdr:cNvPr>
          <xdr:cNvSpPr/>
        </xdr:nvSpPr>
        <xdr:spPr>
          <a:xfrm>
            <a:off x="571499" y="914400"/>
            <a:ext cx="5314951" cy="695325"/>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latin typeface="Corbel" panose="020B0503020204020204" pitchFamily="34" charset="0"/>
              </a:rPr>
              <a:t>  </a:t>
            </a:r>
            <a:r>
              <a:rPr lang="en-US" sz="1400" b="0" i="0" baseline="0">
                <a:latin typeface="Corbel" panose="020B0503020204020204" pitchFamily="34" charset="0"/>
              </a:rPr>
              <a:t> </a:t>
            </a:r>
            <a:r>
              <a:rPr lang="en-US" sz="1600" b="0" i="1" baseline="0">
                <a:latin typeface="Corbel" panose="020B0503020204020204" pitchFamily="34" charset="0"/>
              </a:rPr>
              <a:t>AVERAGE </a:t>
            </a:r>
            <a:r>
              <a:rPr lang="en-US" sz="1600" b="0" i="1" u="none" baseline="0">
                <a:latin typeface="Corbel" panose="020B0503020204020204" pitchFamily="34" charset="0"/>
              </a:rPr>
              <a:t>FRAUD</a:t>
            </a:r>
            <a:r>
              <a:rPr lang="en-US" sz="1600" b="0" i="1" baseline="0">
                <a:latin typeface="Corbel" panose="020B0503020204020204" pitchFamily="34" charset="0"/>
              </a:rPr>
              <a:t> PROB SCORE</a:t>
            </a:r>
            <a:endParaRPr lang="en-US" sz="1400" b="0" i="1">
              <a:latin typeface="Corbel" panose="020B0503020204020204" pitchFamily="34" charset="0"/>
            </a:endParaRPr>
          </a:p>
        </xdr:txBody>
      </xdr:sp>
      <xdr:sp macro="" textlink="Pivot_calc!J102">
        <xdr:nvSpPr>
          <xdr:cNvPr id="37" name="Rectangle: Rounded Corners 36">
            <a:extLst>
              <a:ext uri="{FF2B5EF4-FFF2-40B4-BE49-F238E27FC236}">
                <a16:creationId xmlns:a16="http://schemas.microsoft.com/office/drawing/2014/main" id="{5925BF6F-D34D-4711-81D3-FA05F7F94C45}"/>
              </a:ext>
            </a:extLst>
          </xdr:cNvPr>
          <xdr:cNvSpPr/>
        </xdr:nvSpPr>
        <xdr:spPr>
          <a:xfrm>
            <a:off x="1627784" y="1251527"/>
            <a:ext cx="3319748" cy="24231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CB497F3-8347-44A3-B47C-2E419063E34A}" type="TxLink">
              <a:rPr lang="en-US" sz="1600" b="0" i="0" u="none" strike="noStrike">
                <a:solidFill>
                  <a:schemeClr val="bg1"/>
                </a:solidFill>
                <a:latin typeface="Calibri"/>
                <a:cs typeface="Calibri"/>
              </a:rPr>
              <a:pPr algn="ctr"/>
              <a:t>0.392</a:t>
            </a:fld>
            <a:endParaRPr lang="en-US" sz="1600" b="0" i="0" u="none" strike="noStrike">
              <a:solidFill>
                <a:schemeClr val="bg1"/>
              </a:solidFill>
              <a:latin typeface="Calibri"/>
              <a:cs typeface="Calibri"/>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132</xdr:row>
      <xdr:rowOff>0</xdr:rowOff>
    </xdr:from>
    <xdr:to>
      <xdr:col>6</xdr:col>
      <xdr:colOff>1514475</xdr:colOff>
      <xdr:row>142</xdr:row>
      <xdr:rowOff>142875</xdr:rowOff>
    </xdr:to>
    <mc:AlternateContent xmlns:mc="http://schemas.openxmlformats.org/markup-compatibility/2006" xmlns:a14="http://schemas.microsoft.com/office/drawing/2010/main">
      <mc:Choice Requires="a14">
        <xdr:graphicFrame macro="">
          <xdr:nvGraphicFramePr>
            <xdr:cNvPr id="6" name="program_type 2">
              <a:extLst>
                <a:ext uri="{FF2B5EF4-FFF2-40B4-BE49-F238E27FC236}">
                  <a16:creationId xmlns:a16="http://schemas.microsoft.com/office/drawing/2014/main" id="{3A764218-E216-4ABC-8C44-E95298543A4D}"/>
                </a:ext>
              </a:extLst>
            </xdr:cNvPr>
            <xdr:cNvGraphicFramePr/>
          </xdr:nvGraphicFramePr>
          <xdr:xfrm>
            <a:off x="0" y="0"/>
            <a:ext cx="0" cy="0"/>
          </xdr:xfrm>
          <a:graphic>
            <a:graphicData uri="http://schemas.microsoft.com/office/drawing/2010/slicer">
              <sle:slicer xmlns:sle="http://schemas.microsoft.com/office/drawing/2010/slicer" name="program_type 2"/>
            </a:graphicData>
          </a:graphic>
        </xdr:graphicFrame>
      </mc:Choice>
      <mc:Fallback xmlns="">
        <xdr:sp macro="" textlink="">
          <xdr:nvSpPr>
            <xdr:cNvPr id="0" name=""/>
            <xdr:cNvSpPr>
              <a:spLocks noTextEdit="1"/>
            </xdr:cNvSpPr>
          </xdr:nvSpPr>
          <xdr:spPr>
            <a:xfrm>
              <a:off x="7924800" y="26012775"/>
              <a:ext cx="1514475"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5.57582233796" createdVersion="7" refreshedVersion="7" minRefreshableVersion="3" recordCount="63" xr:uid="{C2C4217B-FEBE-4A42-B9C7-E147F9E0480F}">
  <cacheSource type="worksheet">
    <worksheetSource name="fII_fraud_rate_append"/>
  </cacheSource>
  <cacheFields count="8">
    <cacheField name="program_type" numFmtId="0">
      <sharedItems count="3">
        <s v="SAFE-T"/>
        <s v="OTC"/>
        <s v="OP"/>
      </sharedItems>
    </cacheField>
    <cacheField name="category" numFmtId="0">
      <sharedItems count="7">
        <s v="Electronics"/>
        <s v="Beauty"/>
        <s v="Misc"/>
        <s v="Apparel"/>
        <s v="Home &amp; Kitchen"/>
        <s v="Toys"/>
        <s v="Books"/>
      </sharedItems>
    </cacheField>
    <cacheField name="fraud_rate" numFmtId="0">
      <sharedItems containsSemiMixedTypes="0" containsString="0" containsNumber="1" minValue="10.39" maxValue="45.95"/>
    </cacheField>
    <cacheField name="market" numFmtId="0">
      <sharedItems containsBlank="1" count="3">
        <m/>
        <s v="EU"/>
        <s v="NAM"/>
      </sharedItems>
    </cacheField>
    <cacheField name="total_fraud_count" numFmtId="0">
      <sharedItems containsString="0" containsBlank="1" containsNumber="1" containsInteger="1" minValue="8" maxValue="363"/>
    </cacheField>
    <cacheField name="total_cases" numFmtId="0">
      <sharedItems containsString="0" containsBlank="1" containsNumber="1" containsInteger="1" minValue="46" maxValue="790"/>
    </cacheField>
    <cacheField name="avg_refund" numFmtId="0">
      <sharedItems containsString="0" containsBlank="1" containsNumber="1" minValue="17.64" maxValue="95.44"/>
    </cacheField>
    <cacheField name="fraud_impact_index" numFmtId="0">
      <sharedItems containsString="0" containsBlank="1" containsNumber="1" minValue="5.47" maxValue="41.71"/>
    </cacheField>
  </cacheFields>
  <extLst>
    <ext xmlns:x14="http://schemas.microsoft.com/office/spreadsheetml/2009/9/main" uri="{725AE2AE-9491-48be-B2B4-4EB974FC3084}">
      <x14:pivotCacheDefinition pivotCacheId="4817985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5.769740625001" createdVersion="7" refreshedVersion="7" minRefreshableVersion="3" recordCount="6" xr:uid="{CE79B936-DDE3-49C1-9EA8-40A2A1C56060}">
  <cacheSource type="worksheet">
    <worksheetSource name="sla_performance_summary"/>
  </cacheSource>
  <cacheFields count="6">
    <cacheField name="market" numFmtId="0">
      <sharedItems count="2">
        <s v="EU"/>
        <s v="NAM"/>
      </sharedItems>
    </cacheField>
    <cacheField name="program_type" numFmtId="0">
      <sharedItems count="3">
        <s v="OP"/>
        <s v="OTC"/>
        <s v="SAFE-T"/>
      </sharedItems>
    </cacheField>
    <cacheField name="avg_time" numFmtId="0">
      <sharedItems containsSemiMixedTypes="0" containsString="0" containsNumber="1" minValue="3.98" maxValue="11.34"/>
    </cacheField>
    <cacheField name="avg_days" numFmtId="0">
      <sharedItems containsSemiMixedTypes="0" containsString="0" containsNumber="1" minValue="3.8" maxValue="4.3099999999999996"/>
    </cacheField>
    <cacheField name="sla_breach_pct_minutes" numFmtId="0">
      <sharedItems containsSemiMixedTypes="0" containsString="0" containsNumber="1" minValue="6.41" maxValue="26.11"/>
    </cacheField>
    <cacheField name="sla_breach_days_pct" numFmtId="0">
      <sharedItems containsSemiMixedTypes="0" containsString="0" containsNumber="1" minValue="13.05" maxValue="26.2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5.77989189815" createdVersion="7" refreshedVersion="7" minRefreshableVersion="3" recordCount="3" xr:uid="{202562DE-4FAF-43F8-A689-948247010CEF}">
  <cacheSource type="worksheet">
    <worksheetSource name="program_sla_summary"/>
  </cacheSource>
  <cacheFields count="3">
    <cacheField name="program_type" numFmtId="0">
      <sharedItems count="3">
        <s v="SAFE-T"/>
        <s v="OP"/>
        <s v="OTC"/>
      </sharedItems>
    </cacheField>
    <cacheField name="avg_time" numFmtId="0">
      <sharedItems containsSemiMixedTypes="0" containsString="0" containsNumber="1" minValue="3.98" maxValue="11.44"/>
    </cacheField>
    <cacheField name="sla_breach_pct" numFmtId="0">
      <sharedItems containsSemiMixedTypes="0" containsString="0" containsNumber="1" minValue="6.51" maxValue="26.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5.857290740743" createdVersion="7" refreshedVersion="7" minRefreshableVersion="3" recordCount="3" xr:uid="{2A2752BA-63C3-4242-B2BC-FE30F0396576}">
  <cacheSource type="worksheet">
    <worksheetSource name="sla_fraud_link"/>
  </cacheSource>
  <cacheFields count="4">
    <cacheField name="program_type" numFmtId="0">
      <sharedItems count="3">
        <s v="OP"/>
        <s v="OTC"/>
        <s v="SAFE-T"/>
      </sharedItems>
    </cacheField>
    <cacheField name="fraud_rate_pct" numFmtId="0">
      <sharedItems containsSemiMixedTypes="0" containsString="0" containsNumber="1" minValue="21.6" maxValue="31.01"/>
    </cacheField>
    <cacheField name="avg_time" numFmtId="0">
      <sharedItems containsSemiMixedTypes="0" containsString="0" containsNumber="1" minValue="3.98" maxValue="11.44"/>
    </cacheField>
    <cacheField name="fraud_avg_time" numFmtId="0">
      <sharedItems containsSemiMixedTypes="0" containsString="0" containsNumber="1" minValue="1.23" maxValue="2.4700000000000002"/>
    </cacheField>
  </cacheFields>
  <extLst>
    <ext xmlns:x14="http://schemas.microsoft.com/office/spreadsheetml/2009/9/main" uri="{725AE2AE-9491-48be-B2B4-4EB974FC3084}">
      <x14:pivotCacheDefinition pivotCacheId="146537031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5.868684259258" createdVersion="7" refreshedVersion="7" minRefreshableVersion="3" recordCount="3" xr:uid="{997D4A5D-E98C-4C07-97A2-58B50A8540BA}">
  <cacheSource type="worksheet">
    <worksheetSource name="refund_time_correlation"/>
  </cacheSource>
  <cacheFields count="2">
    <cacheField name="program_type" numFmtId="0">
      <sharedItems count="3">
        <s v="OP"/>
        <s v="OTC"/>
        <s v="SAFE-T"/>
      </sharedItems>
    </cacheField>
    <cacheField name="refund_amount" numFmtId="0">
      <sharedItems containsSemiMixedTypes="0" containsString="0" containsNumber="1" minValue="3.7672460666425957E-3" maxValue="5.3273570412958868E-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5.951248958336" createdVersion="7" refreshedVersion="7" minRefreshableVersion="3" recordCount="69" xr:uid="{B9667245-EF5F-4220-8B9F-79617EF67605}">
  <cacheSource type="worksheet">
    <worksheetSource name="trend"/>
  </cacheSource>
  <cacheFields count="11">
    <cacheField name="year_month" numFmtId="14">
      <sharedItems containsSemiMixedTypes="0" containsNonDate="0" containsDate="1" containsString="0" minDate="2023-01-01T00:00:00" maxDate="2024-11-02T00:00:00" count="23">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sharedItems>
      <fieldGroup par="10" base="0">
        <rangePr groupBy="months" startDate="2023-01-01T00:00:00" endDate="2024-11-02T00:00:00"/>
        <groupItems count="14">
          <s v="&lt;1/1/2023"/>
          <s v="Jan"/>
          <s v="Feb"/>
          <s v="Mar"/>
          <s v="Apr"/>
          <s v="May"/>
          <s v="Jun"/>
          <s v="Jul"/>
          <s v="Aug"/>
          <s v="Sep"/>
          <s v="Oct"/>
          <s v="Nov"/>
          <s v="Dec"/>
          <s v="&gt;11/2/2024"/>
        </groupItems>
      </fieldGroup>
    </cacheField>
    <cacheField name="program_type" numFmtId="0">
      <sharedItems count="3">
        <s v="OP"/>
        <s v="OTC"/>
        <s v="SAFE-T"/>
      </sharedItems>
    </cacheField>
    <cacheField name="total_cases" numFmtId="0">
      <sharedItems containsSemiMixedTypes="0" containsString="0" containsNumber="1" containsInteger="1" minValue="2" maxValue="256"/>
    </cacheField>
    <cacheField name="fraud_cases" numFmtId="0">
      <sharedItems containsSemiMixedTypes="0" containsString="0" containsNumber="1" containsInteger="1" minValue="0" maxValue="88"/>
    </cacheField>
    <cacheField name="fraud_rate_pct" numFmtId="0">
      <sharedItems containsSemiMixedTypes="0" containsString="0" containsNumber="1" minValue="0" maxValue="50"/>
    </cacheField>
    <cacheField name="total_refund" numFmtId="0">
      <sharedItems containsSemiMixedTypes="0" containsString="0" containsNumber="1" minValue="103.26" maxValue="19696.099999999999"/>
    </cacheField>
    <cacheField name="fraud_refund" numFmtId="0">
      <sharedItems containsSemiMixedTypes="0" containsString="0" containsNumber="1" minValue="0" maxValue="13128.250000000004"/>
    </cacheField>
    <cacheField name="fraud_rate_ma3" numFmtId="0">
      <sharedItems containsString="0" containsBlank="1" containsNumber="1" minValue="12.270000000000001" maxValue="35.359999999999992"/>
    </cacheField>
    <cacheField name="fraud_rate_mom" numFmtId="0">
      <sharedItems containsString="0" containsBlank="1" containsNumber="1" minValue="-100" maxValue="66.223404255319167"/>
    </cacheField>
    <cacheField name="Quarters" numFmtId="0" databaseField="0">
      <fieldGroup base="0">
        <rangePr groupBy="quarters" startDate="2023-01-01T00:00:00" endDate="2024-11-02T00:00:00"/>
        <groupItems count="6">
          <s v="&lt;1/1/2023"/>
          <s v="Qtr1"/>
          <s v="Qtr2"/>
          <s v="Qtr3"/>
          <s v="Qtr4"/>
          <s v="&gt;11/2/2024"/>
        </groupItems>
      </fieldGroup>
    </cacheField>
    <cacheField name="Years" numFmtId="0" databaseField="0">
      <fieldGroup base="0">
        <rangePr groupBy="years" startDate="2023-01-01T00:00:00" endDate="2024-11-02T00:00:00"/>
        <groupItems count="4">
          <s v="&lt;1/1/2023"/>
          <s v="2023"/>
          <s v="2024"/>
          <s v="&gt;11/2/2024"/>
        </groupItems>
      </fieldGroup>
    </cacheField>
  </cacheFields>
  <extLst>
    <ext xmlns:x14="http://schemas.microsoft.com/office/spreadsheetml/2009/9/main" uri="{725AE2AE-9491-48be-B2B4-4EB974FC3084}">
      <x14:pivotCacheDefinition pivotCacheId="39392737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6.030440856484" createdVersion="7" refreshedVersion="7" minRefreshableVersion="3" recordCount="21" xr:uid="{E7E0468A-B072-4DE4-8D87-DD70C3D0C9E7}">
  <cacheSource type="worksheet">
    <worksheetSource name="df_category_fraud_summary"/>
  </cacheSource>
  <cacheFields count="4">
    <cacheField name="category" numFmtId="0">
      <sharedItems count="7">
        <s v="Apparel"/>
        <s v="Beauty"/>
        <s v="Books"/>
        <s v="Electronics"/>
        <s v="Home &amp; Kitchen"/>
        <s v="Misc"/>
        <s v="Toys"/>
      </sharedItems>
    </cacheField>
    <cacheField name="program_type" numFmtId="0">
      <sharedItems count="3">
        <s v="SAFE-T"/>
        <s v="OTC"/>
        <s v="OP"/>
      </sharedItems>
    </cacheField>
    <cacheField name="fraud_rate" numFmtId="0">
      <sharedItems containsSemiMixedTypes="0" containsString="0" containsNumber="1" minValue="12.81" maxValue="43.91"/>
    </cacheField>
    <cacheField name="fraud_refund_share_pct" numFmtId="0">
      <sharedItems containsSemiMixedTypes="0" containsString="0" containsNumber="1" minValue="23.44" maxValue="72.91"/>
    </cacheField>
  </cacheFields>
  <extLst>
    <ext xmlns:x14="http://schemas.microsoft.com/office/spreadsheetml/2009/9/main" uri="{725AE2AE-9491-48be-B2B4-4EB974FC3084}">
      <x14:pivotCacheDefinition pivotCacheId="1456947773"/>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6.046286921293" createdVersion="7" refreshedVersion="7" minRefreshableVersion="3" recordCount="6" xr:uid="{16D2AAC1-31AA-48FD-99AB-2F3C8C9283D3}">
  <cacheSource type="worksheet">
    <worksheetSource name="riskbands_category_hotspots"/>
  </cacheSource>
  <cacheFields count="7">
    <cacheField name="fraud_risk_band" numFmtId="0">
      <sharedItems count="3">
        <s v="Low"/>
        <s v="Medium"/>
        <s v="High"/>
      </sharedItems>
    </cacheField>
    <cacheField name="market" numFmtId="0">
      <sharedItems count="2">
        <s v="EU"/>
        <s v="NAM"/>
      </sharedItems>
    </cacheField>
    <cacheField name="Cases" numFmtId="0">
      <sharedItems containsSemiMixedTypes="0" containsString="0" containsNumber="1" containsInteger="1" minValue="323" maxValue="3764"/>
    </cacheField>
    <cacheField name="Total_refund" numFmtId="0">
      <sharedItems containsSemiMixedTypes="0" containsString="0" containsNumber="1" minValue="42117.570000000007" maxValue="279684.0399999998"/>
    </cacheField>
    <cacheField name="Avg_refund_value" numFmtId="0">
      <sharedItems containsSemiMixedTypes="0" containsString="0" containsNumber="1" minValue="34.99" maxValue="135.02000000000001"/>
    </cacheField>
    <cacheField name="%_total_refund_exposure" numFmtId="0">
      <sharedItems containsSemiMixedTypes="0" containsString="0" containsNumber="1" minValue="5.84" maxValue="38.79"/>
    </cacheField>
    <cacheField name="Avg_frud_score" numFmtId="0">
      <sharedItems containsSemiMixedTypes="0" containsString="0" containsNumber="1" minValue="0.20300000000000001" maxValue="0.8010000000000000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6.050714467594" createdVersion="7" refreshedVersion="7" minRefreshableVersion="3" recordCount="98" xr:uid="{2E9FD10E-07AA-401E-8A54-8004455114CE}">
  <cacheSource type="worksheet">
    <worksheetSource name="market_category_hots"/>
  </cacheSource>
  <cacheFields count="9">
    <cacheField name="market" numFmtId="0">
      <sharedItems count="2">
        <s v="EU"/>
        <s v="NAM"/>
      </sharedItems>
    </cacheField>
    <cacheField name="category" numFmtId="0">
      <sharedItems count="7">
        <s v="Apparel"/>
        <s v="Beauty"/>
        <s v="Books"/>
        <s v="Electronics"/>
        <s v="Home &amp; Kitchen"/>
        <s v="Misc"/>
        <s v="Toys"/>
      </sharedItems>
    </cacheField>
    <cacheField name="claim_type" numFmtId="0">
      <sharedItems/>
    </cacheField>
    <cacheField name="total_cases" numFmtId="0">
      <sharedItems containsSemiMixedTypes="0" containsString="0" containsNumber="1" containsInteger="1" minValue="11" maxValue="325"/>
    </cacheField>
    <cacheField name="fraud_cases" numFmtId="0">
      <sharedItems containsSemiMixedTypes="0" containsString="0" containsNumber="1" containsInteger="1" minValue="0" maxValue="280"/>
    </cacheField>
    <cacheField name="fraud_rate_pct" numFmtId="0">
      <sharedItems containsSemiMixedTypes="0" containsString="0" containsNumber="1" minValue="0" maxValue="94.44"/>
    </cacheField>
    <cacheField name="avg_refund_amt" numFmtId="0">
      <sharedItems containsSemiMixedTypes="0" containsString="0" containsNumber="1" minValue="9.42" maxValue="174.27"/>
    </cacheField>
    <cacheField name="total_fraud_refund" numFmtId="0">
      <sharedItems containsSemiMixedTypes="0" containsString="0" containsNumber="1" minValue="0" maxValue="37524.94"/>
    </cacheField>
    <cacheField name="fraud_refund_share_pct" numFmtId="0">
      <sharedItems containsSemiMixedTypes="0" containsString="0" containsNumber="1" minValue="0" maxValue="10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ia" refreshedDate="45946.059417476848" createdVersion="7" refreshedVersion="7" minRefreshableVersion="3" recordCount="20" xr:uid="{10777DA2-45EC-43E3-909F-9D4C81E02437}">
  <cacheSource type="worksheet">
    <worksheetSource name="seller_fraud_summary"/>
  </cacheSource>
  <cacheFields count="7">
    <cacheField name="seller_id" numFmtId="0">
      <sharedItems containsSemiMixedTypes="0" containsString="0" containsNumber="1" containsInteger="1" minValue="125" maxValue="905" count="20">
        <n v="905"/>
        <n v="426"/>
        <n v="380"/>
        <n v="125"/>
        <n v="614"/>
        <n v="765"/>
        <n v="351"/>
        <n v="432"/>
        <n v="811"/>
        <n v="778"/>
        <n v="318"/>
        <n v="901"/>
        <n v="329"/>
        <n v="350"/>
        <n v="440"/>
        <n v="581"/>
        <n v="248"/>
        <n v="466"/>
        <n v="517"/>
        <n v="620"/>
      </sharedItems>
    </cacheField>
    <cacheField name="market" numFmtId="0">
      <sharedItems count="2">
        <s v="NAM"/>
        <s v="EU"/>
      </sharedItems>
    </cacheField>
    <cacheField name="FRAUD_RATE" numFmtId="0">
      <sharedItems containsSemiMixedTypes="0" containsString="0" containsNumber="1" minValue="81.819999999999993" maxValue="100"/>
    </cacheField>
    <cacheField name="TOTAL_AMOUNT" numFmtId="0">
      <sharedItems containsSemiMixedTypes="0" containsString="0" containsNumber="1" minValue="5.85" maxValue="2007.3799999999999"/>
    </cacheField>
    <cacheField name="TOT_FRAUD_AMT" numFmtId="0">
      <sharedItems containsSemiMixedTypes="0" containsString="0" containsNumber="1" minValue="5.85" maxValue="1981.32"/>
    </cacheField>
    <cacheField name="fraud_refund_share_pct" numFmtId="0">
      <sharedItems containsSemiMixedTypes="0" containsString="0" containsNumber="1" minValue="87.307233171729962" maxValue="100"/>
    </cacheField>
    <cacheField name="FRAUD_SCORE" numFmtId="0">
      <sharedItems containsSemiMixedTypes="0" containsString="0" containsNumber="1" minValue="0.53358526015361307" maxValue="0.753122113873534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n v="43.91"/>
    <x v="0"/>
    <m/>
    <m/>
    <m/>
    <m/>
  </r>
  <r>
    <x v="0"/>
    <x v="1"/>
    <n v="36.85"/>
    <x v="0"/>
    <m/>
    <m/>
    <m/>
    <m/>
  </r>
  <r>
    <x v="0"/>
    <x v="2"/>
    <n v="31.89"/>
    <x v="0"/>
    <m/>
    <m/>
    <m/>
    <m/>
  </r>
  <r>
    <x v="0"/>
    <x v="3"/>
    <n v="24.1"/>
    <x v="0"/>
    <m/>
    <m/>
    <m/>
    <m/>
  </r>
  <r>
    <x v="0"/>
    <x v="4"/>
    <n v="23.86"/>
    <x v="0"/>
    <m/>
    <m/>
    <m/>
    <m/>
  </r>
  <r>
    <x v="0"/>
    <x v="5"/>
    <n v="21.69"/>
    <x v="0"/>
    <m/>
    <m/>
    <m/>
    <m/>
  </r>
  <r>
    <x v="0"/>
    <x v="6"/>
    <n v="21.65"/>
    <x v="0"/>
    <m/>
    <m/>
    <m/>
    <m/>
  </r>
  <r>
    <x v="1"/>
    <x v="0"/>
    <n v="41.37"/>
    <x v="0"/>
    <m/>
    <m/>
    <m/>
    <m/>
  </r>
  <r>
    <x v="1"/>
    <x v="1"/>
    <n v="37.450000000000003"/>
    <x v="0"/>
    <m/>
    <m/>
    <m/>
    <m/>
  </r>
  <r>
    <x v="1"/>
    <x v="2"/>
    <n v="33.49"/>
    <x v="0"/>
    <m/>
    <m/>
    <m/>
    <m/>
  </r>
  <r>
    <x v="1"/>
    <x v="6"/>
    <n v="24.42"/>
    <x v="0"/>
    <m/>
    <m/>
    <m/>
    <m/>
  </r>
  <r>
    <x v="1"/>
    <x v="4"/>
    <n v="23.65"/>
    <x v="0"/>
    <m/>
    <m/>
    <m/>
    <m/>
  </r>
  <r>
    <x v="1"/>
    <x v="3"/>
    <n v="22.31"/>
    <x v="0"/>
    <m/>
    <m/>
    <m/>
    <m/>
  </r>
  <r>
    <x v="1"/>
    <x v="5"/>
    <n v="19.07"/>
    <x v="0"/>
    <m/>
    <m/>
    <m/>
    <m/>
  </r>
  <r>
    <x v="2"/>
    <x v="0"/>
    <n v="32.22"/>
    <x v="0"/>
    <m/>
    <m/>
    <m/>
    <m/>
  </r>
  <r>
    <x v="2"/>
    <x v="2"/>
    <n v="28.91"/>
    <x v="0"/>
    <m/>
    <m/>
    <m/>
    <m/>
  </r>
  <r>
    <x v="2"/>
    <x v="1"/>
    <n v="25.81"/>
    <x v="0"/>
    <m/>
    <m/>
    <m/>
    <m/>
  </r>
  <r>
    <x v="2"/>
    <x v="6"/>
    <n v="16.46"/>
    <x v="0"/>
    <m/>
    <m/>
    <m/>
    <m/>
  </r>
  <r>
    <x v="2"/>
    <x v="4"/>
    <n v="14.78"/>
    <x v="0"/>
    <m/>
    <m/>
    <m/>
    <m/>
  </r>
  <r>
    <x v="2"/>
    <x v="3"/>
    <n v="14.07"/>
    <x v="0"/>
    <m/>
    <m/>
    <m/>
    <m/>
  </r>
  <r>
    <x v="2"/>
    <x v="5"/>
    <n v="12.81"/>
    <x v="0"/>
    <m/>
    <m/>
    <m/>
    <m/>
  </r>
  <r>
    <x v="2"/>
    <x v="0"/>
    <n v="32.11"/>
    <x v="1"/>
    <n v="79"/>
    <n v="246"/>
    <n v="70.790000000000006"/>
    <n v="22.73"/>
  </r>
  <r>
    <x v="2"/>
    <x v="6"/>
    <n v="19.39"/>
    <x v="1"/>
    <n v="19"/>
    <n v="98"/>
    <n v="80.819999999999993"/>
    <n v="15.67"/>
  </r>
  <r>
    <x v="2"/>
    <x v="2"/>
    <n v="34.78"/>
    <x v="1"/>
    <n v="16"/>
    <n v="46"/>
    <n v="35.299999999999997"/>
    <n v="12.28"/>
  </r>
  <r>
    <x v="2"/>
    <x v="3"/>
    <n v="15.56"/>
    <x v="1"/>
    <n v="28"/>
    <n v="180"/>
    <n v="58.72"/>
    <n v="9.1300000000000008"/>
  </r>
  <r>
    <x v="2"/>
    <x v="4"/>
    <n v="12.82"/>
    <x v="1"/>
    <n v="15"/>
    <n v="117"/>
    <n v="67.22"/>
    <n v="8.6199999999999992"/>
  </r>
  <r>
    <x v="2"/>
    <x v="1"/>
    <n v="23.2"/>
    <x v="1"/>
    <n v="29"/>
    <n v="125"/>
    <n v="35.64"/>
    <n v="8.27"/>
  </r>
  <r>
    <x v="2"/>
    <x v="5"/>
    <n v="10.39"/>
    <x v="1"/>
    <n v="8"/>
    <n v="77"/>
    <n v="52.63"/>
    <n v="5.47"/>
  </r>
  <r>
    <x v="2"/>
    <x v="0"/>
    <n v="32.29"/>
    <x v="2"/>
    <n v="114"/>
    <n v="353"/>
    <n v="63.74"/>
    <n v="20.58"/>
  </r>
  <r>
    <x v="2"/>
    <x v="4"/>
    <n v="15.92"/>
    <x v="2"/>
    <n v="32"/>
    <n v="201"/>
    <n v="76.400000000000006"/>
    <n v="12.16"/>
  </r>
  <r>
    <x v="2"/>
    <x v="3"/>
    <n v="13.09"/>
    <x v="2"/>
    <n v="36"/>
    <n v="275"/>
    <n v="80.790000000000006"/>
    <n v="10.58"/>
  </r>
  <r>
    <x v="2"/>
    <x v="6"/>
    <n v="14.39"/>
    <x v="2"/>
    <n v="20"/>
    <n v="139"/>
    <n v="60.11"/>
    <n v="8.65"/>
  </r>
  <r>
    <x v="2"/>
    <x v="2"/>
    <n v="25.61"/>
    <x v="2"/>
    <n v="21"/>
    <n v="82"/>
    <n v="32.81"/>
    <n v="8.4"/>
  </r>
  <r>
    <x v="2"/>
    <x v="5"/>
    <n v="14.29"/>
    <x v="2"/>
    <n v="18"/>
    <n v="126"/>
    <n v="52.45"/>
    <n v="7.49"/>
  </r>
  <r>
    <x v="2"/>
    <x v="1"/>
    <n v="27.57"/>
    <x v="2"/>
    <n v="51"/>
    <n v="185"/>
    <n v="20.61"/>
    <n v="5.68"/>
  </r>
  <r>
    <x v="1"/>
    <x v="0"/>
    <n v="42.86"/>
    <x v="1"/>
    <n v="153"/>
    <n v="357"/>
    <n v="74.95"/>
    <n v="32.119999999999997"/>
  </r>
  <r>
    <x v="1"/>
    <x v="4"/>
    <n v="26.24"/>
    <x v="1"/>
    <n v="58"/>
    <n v="221"/>
    <n v="95.44"/>
    <n v="25.05"/>
  </r>
  <r>
    <x v="1"/>
    <x v="5"/>
    <n v="25.5"/>
    <x v="1"/>
    <n v="38"/>
    <n v="149"/>
    <n v="75.180000000000007"/>
    <n v="19.170000000000002"/>
  </r>
  <r>
    <x v="1"/>
    <x v="6"/>
    <n v="20"/>
    <x v="1"/>
    <n v="30"/>
    <n v="150"/>
    <n v="83.95"/>
    <n v="16.79"/>
  </r>
  <r>
    <x v="1"/>
    <x v="3"/>
    <n v="21.11"/>
    <x v="1"/>
    <n v="57"/>
    <n v="270"/>
    <n v="67.62"/>
    <n v="14.28"/>
  </r>
  <r>
    <x v="1"/>
    <x v="1"/>
    <n v="42.45"/>
    <x v="1"/>
    <n v="90"/>
    <n v="212"/>
    <n v="23.89"/>
    <n v="10.14"/>
  </r>
  <r>
    <x v="1"/>
    <x v="2"/>
    <n v="30.38"/>
    <x v="1"/>
    <n v="24"/>
    <n v="79"/>
    <n v="28.91"/>
    <n v="8.7799999999999994"/>
  </r>
  <r>
    <x v="1"/>
    <x v="0"/>
    <n v="40.47"/>
    <x v="2"/>
    <n v="240"/>
    <n v="593"/>
    <n v="81.41"/>
    <n v="32.950000000000003"/>
  </r>
  <r>
    <x v="1"/>
    <x v="6"/>
    <n v="27.2"/>
    <x v="2"/>
    <n v="65"/>
    <n v="239"/>
    <n v="87.96"/>
    <n v="23.92"/>
  </r>
  <r>
    <x v="1"/>
    <x v="3"/>
    <n v="22.95"/>
    <x v="2"/>
    <n v="115"/>
    <n v="501"/>
    <n v="71.58"/>
    <n v="16.43"/>
  </r>
  <r>
    <x v="1"/>
    <x v="4"/>
    <n v="22.03"/>
    <x v="2"/>
    <n v="78"/>
    <n v="354"/>
    <n v="72.23"/>
    <n v="15.91"/>
  </r>
  <r>
    <x v="1"/>
    <x v="2"/>
    <n v="35.29"/>
    <x v="2"/>
    <n v="48"/>
    <n v="136"/>
    <n v="31.43"/>
    <n v="11.09"/>
  </r>
  <r>
    <x v="1"/>
    <x v="5"/>
    <n v="14.68"/>
    <x v="2"/>
    <n v="32"/>
    <n v="218"/>
    <n v="63.44"/>
    <n v="9.31"/>
  </r>
  <r>
    <x v="1"/>
    <x v="1"/>
    <n v="34.08"/>
    <x v="2"/>
    <n v="107"/>
    <n v="314"/>
    <n v="18.28"/>
    <n v="6.23"/>
  </r>
  <r>
    <x v="0"/>
    <x v="0"/>
    <n v="40.61"/>
    <x v="1"/>
    <n v="199"/>
    <n v="490"/>
    <n v="90.92"/>
    <n v="36.93"/>
  </r>
  <r>
    <x v="0"/>
    <x v="3"/>
    <n v="23.63"/>
    <x v="1"/>
    <n v="95"/>
    <n v="402"/>
    <n v="69.98"/>
    <n v="16.54"/>
  </r>
  <r>
    <x v="0"/>
    <x v="6"/>
    <n v="21.43"/>
    <x v="1"/>
    <n v="45"/>
    <n v="210"/>
    <n v="70.81"/>
    <n v="15.17"/>
  </r>
  <r>
    <x v="0"/>
    <x v="4"/>
    <n v="19.79"/>
    <x v="1"/>
    <n v="56"/>
    <n v="283"/>
    <n v="66.760000000000005"/>
    <n v="13.21"/>
  </r>
  <r>
    <x v="0"/>
    <x v="5"/>
    <n v="20.11"/>
    <x v="1"/>
    <n v="36"/>
    <n v="179"/>
    <n v="61.59"/>
    <n v="12.39"/>
  </r>
  <r>
    <x v="0"/>
    <x v="1"/>
    <n v="35.869999999999997"/>
    <x v="1"/>
    <n v="99"/>
    <n v="276"/>
    <n v="28.07"/>
    <n v="10.07"/>
  </r>
  <r>
    <x v="0"/>
    <x v="2"/>
    <n v="31.58"/>
    <x v="1"/>
    <n v="36"/>
    <n v="114"/>
    <n v="17.64"/>
    <n v="5.57"/>
  </r>
  <r>
    <x v="0"/>
    <x v="0"/>
    <n v="45.95"/>
    <x v="2"/>
    <n v="363"/>
    <n v="790"/>
    <n v="90.78"/>
    <n v="41.71"/>
  </r>
  <r>
    <x v="0"/>
    <x v="4"/>
    <n v="26.62"/>
    <x v="2"/>
    <n v="111"/>
    <n v="417"/>
    <n v="76.180000000000007"/>
    <n v="20.28"/>
  </r>
  <r>
    <x v="0"/>
    <x v="6"/>
    <n v="21.81"/>
    <x v="2"/>
    <n v="65"/>
    <n v="298"/>
    <n v="79.8"/>
    <n v="17.41"/>
  </r>
  <r>
    <x v="0"/>
    <x v="3"/>
    <n v="24.41"/>
    <x v="2"/>
    <n v="145"/>
    <n v="594"/>
    <n v="66.680000000000007"/>
    <n v="16.28"/>
  </r>
  <r>
    <x v="0"/>
    <x v="1"/>
    <n v="37.47"/>
    <x v="2"/>
    <n v="163"/>
    <n v="435"/>
    <n v="36.700000000000003"/>
    <n v="13.75"/>
  </r>
  <r>
    <x v="0"/>
    <x v="5"/>
    <n v="22.7"/>
    <x v="2"/>
    <n v="64"/>
    <n v="282"/>
    <n v="60.16"/>
    <n v="13.65"/>
  </r>
  <r>
    <x v="0"/>
    <x v="2"/>
    <n v="32.090000000000003"/>
    <x v="2"/>
    <n v="60"/>
    <n v="187"/>
    <n v="35.729999999999997"/>
    <n v="11.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1.34"/>
    <n v="3.8"/>
    <n v="22.5"/>
    <n v="13.05"/>
  </r>
  <r>
    <x v="1"/>
    <x v="0"/>
    <n v="11.34"/>
    <n v="3.8"/>
    <n v="22.04"/>
    <n v="14.62"/>
  </r>
  <r>
    <x v="0"/>
    <x v="1"/>
    <n v="6.99"/>
    <n v="4.3099999999999996"/>
    <n v="6.68"/>
    <n v="26.29"/>
  </r>
  <r>
    <x v="1"/>
    <x v="1"/>
    <n v="6.99"/>
    <n v="4.3099999999999996"/>
    <n v="6.41"/>
    <n v="24.59"/>
  </r>
  <r>
    <x v="0"/>
    <x v="2"/>
    <n v="3.98"/>
    <n v="4.2699999999999996"/>
    <n v="26.1"/>
    <n v="22.72"/>
  </r>
  <r>
    <x v="1"/>
    <x v="2"/>
    <n v="3.98"/>
    <n v="4.2699999999999996"/>
    <n v="26.11"/>
    <n v="25.0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98"/>
    <n v="26.1"/>
  </r>
  <r>
    <x v="1"/>
    <n v="11.44"/>
    <n v="22.22"/>
  </r>
  <r>
    <x v="2"/>
    <n v="7"/>
    <n v="6.5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1.6"/>
    <n v="11.44"/>
    <n v="2.4700000000000002"/>
  </r>
  <r>
    <x v="1"/>
    <n v="29.92"/>
    <n v="7"/>
    <n v="2.1"/>
  </r>
  <r>
    <x v="2"/>
    <n v="31.01"/>
    <n v="3.98"/>
    <n v="1.2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5.3273570412958868E-2"/>
  </r>
  <r>
    <x v="1"/>
    <n v="2.1957375293014936E-2"/>
  </r>
  <r>
    <x v="2"/>
    <n v="3.7672460666425957E-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n v="46"/>
    <n v="11"/>
    <n v="23.91"/>
    <n v="2153.6499999999996"/>
    <n v="1041.8499999999999"/>
    <m/>
    <m/>
  </r>
  <r>
    <x v="0"/>
    <x v="1"/>
    <n v="46"/>
    <n v="15"/>
    <n v="32.61"/>
    <n v="4180.28"/>
    <n v="2099.2000000000003"/>
    <m/>
    <m/>
  </r>
  <r>
    <x v="0"/>
    <x v="2"/>
    <n v="80"/>
    <n v="22"/>
    <n v="27.5"/>
    <n v="5175.6900000000032"/>
    <n v="1381.61"/>
    <m/>
    <m/>
  </r>
  <r>
    <x v="1"/>
    <x v="0"/>
    <n v="77"/>
    <n v="23"/>
    <n v="29.87"/>
    <n v="5936.6399999999994"/>
    <n v="2343.77"/>
    <m/>
    <n v="24.926808866583027"/>
  </r>
  <r>
    <x v="1"/>
    <x v="1"/>
    <n v="157"/>
    <n v="43"/>
    <n v="27.39"/>
    <n v="11126.950000000003"/>
    <n v="4269.6900000000005"/>
    <m/>
    <n v="-16.007359705611769"/>
  </r>
  <r>
    <x v="1"/>
    <x v="2"/>
    <n v="216"/>
    <n v="75"/>
    <n v="34.72"/>
    <n v="16045.649999999994"/>
    <n v="9268.0700000000015"/>
    <m/>
    <n v="26.254545454545443"/>
  </r>
  <r>
    <x v="2"/>
    <x v="0"/>
    <n v="109"/>
    <n v="28"/>
    <n v="25.69"/>
    <n v="8390.1700000000019"/>
    <n v="3462.3799999999997"/>
    <n v="26.49"/>
    <n v="-13.99397388684298"/>
  </r>
  <r>
    <x v="2"/>
    <x v="1"/>
    <n v="175"/>
    <n v="50"/>
    <n v="28.57"/>
    <n v="13141.720000000001"/>
    <n v="5687.9199999999983"/>
    <n v="29.52333333333333"/>
    <n v="4.308141657539255"/>
  </r>
  <r>
    <x v="2"/>
    <x v="2"/>
    <n v="249"/>
    <n v="67"/>
    <n v="26.91"/>
    <n v="13944.289999999997"/>
    <n v="6116.6599999999989"/>
    <n v="29.709999999999997"/>
    <n v="-22.494239631336399"/>
  </r>
  <r>
    <x v="3"/>
    <x v="0"/>
    <n v="101"/>
    <n v="24"/>
    <n v="23.76"/>
    <n v="5127.3100000000004"/>
    <n v="2467.4499999999998"/>
    <n v="26.44"/>
    <n v="-7.5126508369015133"/>
  </r>
  <r>
    <x v="3"/>
    <x v="1"/>
    <n v="178"/>
    <n v="53"/>
    <n v="29.78"/>
    <n v="10660.850000000002"/>
    <n v="5903.4299999999967"/>
    <n v="28.580000000000002"/>
    <n v="4.2352117605880313"/>
  </r>
  <r>
    <x v="3"/>
    <x v="2"/>
    <n v="230"/>
    <n v="84"/>
    <n v="36.520000000000003"/>
    <n v="15976.459999999994"/>
    <n v="9697.6299999999956"/>
    <n v="32.716666666666669"/>
    <n v="35.711631363805282"/>
  </r>
  <r>
    <x v="4"/>
    <x v="0"/>
    <n v="114"/>
    <n v="22"/>
    <n v="19.3"/>
    <n v="8860.9900000000034"/>
    <n v="3539.1300000000006"/>
    <n v="22.916666666666668"/>
    <n v="-18.771043771043772"/>
  </r>
  <r>
    <x v="4"/>
    <x v="1"/>
    <n v="197"/>
    <n v="63"/>
    <n v="31.98"/>
    <n v="11340.080000000011"/>
    <n v="6862.35"/>
    <n v="30.11"/>
    <n v="7.3875083948959031"/>
  </r>
  <r>
    <x v="4"/>
    <x v="2"/>
    <n v="222"/>
    <n v="72"/>
    <n v="32.43"/>
    <n v="14801.379999999997"/>
    <n v="7050.9100000000008"/>
    <n v="31.953333333333337"/>
    <n v="-11.199342825848857"/>
  </r>
  <r>
    <x v="5"/>
    <x v="0"/>
    <n v="100"/>
    <n v="19"/>
    <n v="19"/>
    <n v="6698.1200000000026"/>
    <n v="2012.3400000000001"/>
    <n v="20.686666666666667"/>
    <n v="-1.5544041450777257"/>
  </r>
  <r>
    <x v="5"/>
    <x v="1"/>
    <n v="180"/>
    <n v="61"/>
    <n v="33.89"/>
    <n v="12878.599999999988"/>
    <n v="8190.7599999999984"/>
    <n v="31.883333333333336"/>
    <n v="5.9724828017510889"/>
  </r>
  <r>
    <x v="5"/>
    <x v="2"/>
    <n v="250"/>
    <n v="71"/>
    <n v="28.4"/>
    <n v="14814.879999999997"/>
    <n v="7531.6199999999972"/>
    <n v="32.450000000000003"/>
    <n v="-12.426765340733892"/>
  </r>
  <r>
    <x v="6"/>
    <x v="0"/>
    <n v="110"/>
    <n v="30"/>
    <n v="27.27"/>
    <n v="5864.32"/>
    <n v="2386.0700000000002"/>
    <n v="21.856666666666666"/>
    <n v="43.526315789473678"/>
  </r>
  <r>
    <x v="6"/>
    <x v="1"/>
    <n v="181"/>
    <n v="60"/>
    <n v="33.15"/>
    <n v="16836.809999999998"/>
    <n v="9134.3800000000028"/>
    <n v="33.006666666666668"/>
    <n v="-2.1835349660666914"/>
  </r>
  <r>
    <x v="6"/>
    <x v="2"/>
    <n v="249"/>
    <n v="78"/>
    <n v="31.33"/>
    <n v="15116.39"/>
    <n v="8105.949999999998"/>
    <n v="30.72"/>
    <n v="10.316901408450697"/>
  </r>
  <r>
    <x v="7"/>
    <x v="0"/>
    <n v="108"/>
    <n v="19"/>
    <n v="17.59"/>
    <n v="4254.88"/>
    <n v="1637.8600000000001"/>
    <n v="21.286666666666665"/>
    <n v="-35.496883021635497"/>
  </r>
  <r>
    <x v="7"/>
    <x v="1"/>
    <n v="184"/>
    <n v="55"/>
    <n v="29.89"/>
    <n v="10991.420000000004"/>
    <n v="5431.68"/>
    <n v="32.309999999999995"/>
    <n v="-9.8340874811463035"/>
  </r>
  <r>
    <x v="7"/>
    <x v="2"/>
    <n v="217"/>
    <n v="68"/>
    <n v="31.34"/>
    <n v="15511.230000000014"/>
    <n v="8569.1400000000012"/>
    <n v="30.356666666666666"/>
    <n v="3.1918289179699855E-2"/>
  </r>
  <r>
    <x v="8"/>
    <x v="0"/>
    <n v="92"/>
    <n v="14"/>
    <n v="15.22"/>
    <n v="6177.3300000000008"/>
    <n v="2336.9900000000002"/>
    <n v="20.026666666666667"/>
    <n v="-13.473564525298464"/>
  </r>
  <r>
    <x v="8"/>
    <x v="1"/>
    <n v="195"/>
    <n v="64"/>
    <n v="32.82"/>
    <n v="12520.060000000001"/>
    <n v="5204.670000000001"/>
    <n v="31.95333333333333"/>
    <n v="9.8026095684175196"/>
  </r>
  <r>
    <x v="8"/>
    <x v="2"/>
    <n v="206"/>
    <n v="54"/>
    <n v="26.21"/>
    <n v="13172.499999999998"/>
    <n v="5956.19"/>
    <n v="29.626666666666665"/>
    <n v="-16.368857689853222"/>
  </r>
  <r>
    <x v="9"/>
    <x v="0"/>
    <n v="110"/>
    <n v="22"/>
    <n v="20"/>
    <n v="5967.03"/>
    <n v="2543.1099999999997"/>
    <n v="17.603333333333335"/>
    <n v="31.406044678055189"/>
  </r>
  <r>
    <x v="9"/>
    <x v="1"/>
    <n v="188"/>
    <n v="63"/>
    <n v="33.51"/>
    <n v="12551.759999999991"/>
    <n v="5900.86"/>
    <n v="32.073333333333331"/>
    <n v="2.1023765996343702"/>
  </r>
  <r>
    <x v="9"/>
    <x v="2"/>
    <n v="243"/>
    <n v="61"/>
    <n v="25.1"/>
    <n v="17964.16"/>
    <n v="8876.6200000000008"/>
    <n v="27.55"/>
    <n v="-4.2350247996947754"/>
  </r>
  <r>
    <x v="10"/>
    <x v="0"/>
    <n v="131"/>
    <n v="23"/>
    <n v="17.559999999999999"/>
    <n v="8995.6799999999985"/>
    <n v="2704.56"/>
    <n v="17.593333333333334"/>
    <n v="-12.20000000000001"/>
  </r>
  <r>
    <x v="10"/>
    <x v="1"/>
    <n v="175"/>
    <n v="49"/>
    <n v="28"/>
    <n v="9527.1600000000017"/>
    <n v="3602.9800000000005"/>
    <n v="31.443333333333328"/>
    <n v="-16.442852879737391"/>
  </r>
  <r>
    <x v="10"/>
    <x v="2"/>
    <n v="242"/>
    <n v="72"/>
    <n v="29.75"/>
    <n v="17556.469999999998"/>
    <n v="7741.55"/>
    <n v="27.02"/>
    <n v="18.525896414342611"/>
  </r>
  <r>
    <x v="11"/>
    <x v="0"/>
    <n v="116"/>
    <n v="25"/>
    <n v="21.55"/>
    <n v="6676.2900000000009"/>
    <n v="2252.04"/>
    <n v="19.703333333333333"/>
    <n v="22.72209567198178"/>
  </r>
  <r>
    <x v="11"/>
    <x v="1"/>
    <n v="169"/>
    <n v="55"/>
    <n v="32.54"/>
    <n v="12514.019999999999"/>
    <n v="7182.050000000002"/>
    <n v="31.349999999999994"/>
    <n v="16.214285714285715"/>
  </r>
  <r>
    <x v="11"/>
    <x v="2"/>
    <n v="218"/>
    <n v="69"/>
    <n v="31.65"/>
    <n v="16039.819999999994"/>
    <n v="8365.64"/>
    <n v="28.833333333333332"/>
    <n v="6.386554621848739"/>
  </r>
  <r>
    <x v="12"/>
    <x v="0"/>
    <n v="107"/>
    <n v="29"/>
    <n v="27.1"/>
    <n v="6328.07"/>
    <n v="3222.9100000000003"/>
    <n v="22.070000000000004"/>
    <n v="25.754060324825989"/>
  </r>
  <r>
    <x v="12"/>
    <x v="1"/>
    <n v="162"/>
    <n v="49"/>
    <n v="30.25"/>
    <n v="15125.650000000001"/>
    <n v="10332.450000000003"/>
    <n v="30.263333333333332"/>
    <n v="-7.0374923171481196"/>
  </r>
  <r>
    <x v="12"/>
    <x v="2"/>
    <n v="238"/>
    <n v="74"/>
    <n v="31.09"/>
    <n v="15170.729999999996"/>
    <n v="7678.010000000002"/>
    <n v="30.83"/>
    <n v="-1.7693522906793047"/>
  </r>
  <r>
    <x v="13"/>
    <x v="0"/>
    <n v="99"/>
    <n v="24"/>
    <n v="24.24"/>
    <n v="5845.6799999999985"/>
    <n v="2390.0899999999997"/>
    <n v="24.296666666666667"/>
    <n v="-10.553505535055363"/>
  </r>
  <r>
    <x v="13"/>
    <x v="1"/>
    <n v="174"/>
    <n v="48"/>
    <n v="27.59"/>
    <n v="11440.439999999999"/>
    <n v="3999.0299999999997"/>
    <n v="30.126666666666665"/>
    <n v="-8.7933884297520688"/>
  </r>
  <r>
    <x v="13"/>
    <x v="2"/>
    <n v="235"/>
    <n v="75"/>
    <n v="31.91"/>
    <n v="17057.96000000001"/>
    <n v="9598.2300000000014"/>
    <n v="31.549999999999997"/>
    <n v="2.6375040205854017"/>
  </r>
  <r>
    <x v="14"/>
    <x v="0"/>
    <n v="110"/>
    <n v="25"/>
    <n v="22.73"/>
    <n v="5684.9799999999987"/>
    <n v="2554.5099999999993"/>
    <n v="24.689999999999998"/>
    <n v="-6.2293729372937197"/>
  </r>
  <r>
    <x v="14"/>
    <x v="1"/>
    <n v="185"/>
    <n v="50"/>
    <n v="27.03"/>
    <n v="8278.1699999999983"/>
    <n v="3466.6899999999996"/>
    <n v="28.289999999999996"/>
    <n v="-2.029720913374411"/>
  </r>
  <r>
    <x v="14"/>
    <x v="2"/>
    <n v="256"/>
    <n v="88"/>
    <n v="34.380000000000003"/>
    <n v="18084.21999999999"/>
    <n v="10484.720000000001"/>
    <n v="32.46"/>
    <n v="7.7405202130993445"/>
  </r>
  <r>
    <x v="15"/>
    <x v="0"/>
    <n v="105"/>
    <n v="25"/>
    <n v="23.81"/>
    <n v="6291.4899999999989"/>
    <n v="2313.36"/>
    <n v="23.593333333333334"/>
    <n v="4.7514298284205836"/>
  </r>
  <r>
    <x v="15"/>
    <x v="1"/>
    <n v="162"/>
    <n v="44"/>
    <n v="27.16"/>
    <n v="10429.140000000001"/>
    <n v="3366.23"/>
    <n v="27.26"/>
    <n v="0.48094709581945061"/>
  </r>
  <r>
    <x v="15"/>
    <x v="2"/>
    <n v="225"/>
    <n v="70"/>
    <n v="31.11"/>
    <n v="14725.400000000001"/>
    <n v="7790.85"/>
    <n v="32.466666666666669"/>
    <n v="-9.5113438045375318"/>
  </r>
  <r>
    <x v="16"/>
    <x v="0"/>
    <n v="108"/>
    <n v="19"/>
    <n v="17.59"/>
    <n v="10937.150000000001"/>
    <n v="1995.79"/>
    <n v="21.376666666666665"/>
    <n v="-26.123477530449392"/>
  </r>
  <r>
    <x v="16"/>
    <x v="1"/>
    <n v="202"/>
    <n v="59"/>
    <n v="29.21"/>
    <n v="11130.97999999999"/>
    <n v="6472.4100000000017"/>
    <n v="27.799999999999997"/>
    <n v="7.5478645066273886"/>
  </r>
  <r>
    <x v="16"/>
    <x v="2"/>
    <n v="239"/>
    <n v="80"/>
    <n v="33.47"/>
    <n v="19696.099999999999"/>
    <n v="13128.250000000004"/>
    <n v="32.986666666666672"/>
    <n v="7.58598521375764"/>
  </r>
  <r>
    <x v="17"/>
    <x v="0"/>
    <n v="103"/>
    <n v="21"/>
    <n v="20.39"/>
    <n v="5147.7199999999993"/>
    <n v="2094.09"/>
    <n v="20.596666666666668"/>
    <n v="15.918135304150095"/>
  </r>
  <r>
    <x v="17"/>
    <x v="1"/>
    <n v="185"/>
    <n v="49"/>
    <n v="26.49"/>
    <n v="12188.039999999994"/>
    <n v="5040.9100000000008"/>
    <n v="27.619999999999994"/>
    <n v="-9.3118794933242164"/>
  </r>
  <r>
    <x v="17"/>
    <x v="2"/>
    <n v="232"/>
    <n v="74"/>
    <n v="31.9"/>
    <n v="16212.269999999997"/>
    <n v="9576.5799999999963"/>
    <n v="32.159999999999997"/>
    <n v="-4.6907678518075873"/>
  </r>
  <r>
    <x v="18"/>
    <x v="0"/>
    <n v="111"/>
    <n v="26"/>
    <n v="23.42"/>
    <n v="5561.48"/>
    <n v="2471.65"/>
    <n v="20.466666666666669"/>
    <n v="14.860225600784705"/>
  </r>
  <r>
    <x v="18"/>
    <x v="1"/>
    <n v="159"/>
    <n v="55"/>
    <n v="34.590000000000003"/>
    <n v="11460.089999999998"/>
    <n v="6299.57"/>
    <n v="30.096666666666664"/>
    <n v="30.577576443941123"/>
  </r>
  <r>
    <x v="18"/>
    <x v="2"/>
    <n v="255"/>
    <n v="84"/>
    <n v="32.94"/>
    <n v="17092.140000000003"/>
    <n v="8400.99"/>
    <n v="32.770000000000003"/>
    <n v="3.260188087774285"/>
  </r>
  <r>
    <x v="19"/>
    <x v="0"/>
    <n v="93"/>
    <n v="22"/>
    <n v="23.66"/>
    <n v="4041.0899999999988"/>
    <n v="1888.3799999999999"/>
    <n v="22.49"/>
    <n v="1.0247651579846195"/>
  </r>
  <r>
    <x v="19"/>
    <x v="1"/>
    <n v="214"/>
    <n v="60"/>
    <n v="28.04"/>
    <n v="11249.329999999996"/>
    <n v="5082.16"/>
    <n v="29.706666666666663"/>
    <n v="-18.93610870193698"/>
  </r>
  <r>
    <x v="19"/>
    <x v="2"/>
    <n v="235"/>
    <n v="74"/>
    <n v="31.49"/>
    <n v="15636.14"/>
    <n v="6504.8700000000008"/>
    <n v="32.11"/>
    <n v="-4.4019429265330867"/>
  </r>
  <r>
    <x v="20"/>
    <x v="0"/>
    <n v="123"/>
    <n v="20"/>
    <n v="16.260000000000002"/>
    <n v="5968.3799999999992"/>
    <n v="815.86000000000013"/>
    <n v="21.113333333333333"/>
    <n v="-31.276415891800504"/>
  </r>
  <r>
    <x v="20"/>
    <x v="1"/>
    <n v="200"/>
    <n v="52"/>
    <n v="26"/>
    <n v="14594.970000000003"/>
    <n v="8063.7400000000016"/>
    <n v="29.543333333333333"/>
    <n v="-7.2753209700427979"/>
  </r>
  <r>
    <x v="20"/>
    <x v="2"/>
    <n v="249"/>
    <n v="75"/>
    <n v="30.12"/>
    <n v="13183.030000000008"/>
    <n v="5899.0499999999993"/>
    <n v="31.516666666666669"/>
    <n v="-4.3505874880914508"/>
  </r>
  <r>
    <x v="21"/>
    <x v="0"/>
    <n v="73"/>
    <n v="15"/>
    <n v="20.55"/>
    <n v="4198.9799999999996"/>
    <n v="1601.8299999999997"/>
    <n v="20.156666666666666"/>
    <n v="26.383763837638362"/>
  </r>
  <r>
    <x v="21"/>
    <x v="1"/>
    <n v="123"/>
    <n v="37"/>
    <n v="30.08"/>
    <n v="7556.3099999999995"/>
    <n v="2447.6699999999996"/>
    <n v="28.039999999999996"/>
    <n v="15.692307692307693"/>
  </r>
  <r>
    <x v="21"/>
    <x v="2"/>
    <n v="160"/>
    <n v="47"/>
    <n v="29.38"/>
    <n v="9573.8200000000015"/>
    <n v="4266.1900000000005"/>
    <n v="30.33"/>
    <n v="-2.4568393094289598"/>
  </r>
  <r>
    <x v="22"/>
    <x v="0"/>
    <n v="4"/>
    <n v="0"/>
    <n v="0"/>
    <n v="331.4"/>
    <n v="0"/>
    <n v="12.270000000000001"/>
    <n v="-100"/>
  </r>
  <r>
    <x v="22"/>
    <x v="1"/>
    <n v="2"/>
    <n v="1"/>
    <n v="50"/>
    <n v="103.26"/>
    <n v="97.59"/>
    <n v="35.359999999999992"/>
    <n v="66.223404255319167"/>
  </r>
  <r>
    <x v="22"/>
    <x v="2"/>
    <n v="11"/>
    <n v="3"/>
    <n v="27.27"/>
    <n v="1166.0400000000002"/>
    <n v="626.61"/>
    <n v="28.923333333333336"/>
    <n v="-7.181756296800545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n v="24.1"/>
    <n v="36.81"/>
  </r>
  <r>
    <x v="0"/>
    <x v="1"/>
    <n v="22.31"/>
    <n v="38.35"/>
  </r>
  <r>
    <x v="0"/>
    <x v="2"/>
    <n v="14.07"/>
    <n v="23.44"/>
  </r>
  <r>
    <x v="1"/>
    <x v="1"/>
    <n v="37.450000000000003"/>
    <n v="58.86"/>
  </r>
  <r>
    <x v="1"/>
    <x v="0"/>
    <n v="36.85"/>
    <n v="72.23"/>
  </r>
  <r>
    <x v="1"/>
    <x v="2"/>
    <n v="25.81"/>
    <n v="34.450000000000003"/>
  </r>
  <r>
    <x v="2"/>
    <x v="1"/>
    <n v="24.42"/>
    <n v="37.9"/>
  </r>
  <r>
    <x v="2"/>
    <x v="0"/>
    <n v="21.65"/>
    <n v="30.54"/>
  </r>
  <r>
    <x v="2"/>
    <x v="2"/>
    <n v="16.46"/>
    <n v="24.11"/>
  </r>
  <r>
    <x v="3"/>
    <x v="0"/>
    <n v="43.91"/>
    <n v="72.91"/>
  </r>
  <r>
    <x v="3"/>
    <x v="1"/>
    <n v="41.37"/>
    <n v="71.37"/>
  </r>
  <r>
    <x v="3"/>
    <x v="2"/>
    <n v="32.22"/>
    <n v="57.9"/>
  </r>
  <r>
    <x v="4"/>
    <x v="0"/>
    <n v="23.86"/>
    <n v="36.92"/>
  </r>
  <r>
    <x v="4"/>
    <x v="1"/>
    <n v="23.65"/>
    <n v="40.68"/>
  </r>
  <r>
    <x v="4"/>
    <x v="2"/>
    <n v="14.78"/>
    <n v="29.57"/>
  </r>
  <r>
    <x v="5"/>
    <x v="1"/>
    <n v="33.49"/>
    <n v="62.59"/>
  </r>
  <r>
    <x v="5"/>
    <x v="0"/>
    <n v="31.89"/>
    <n v="53"/>
  </r>
  <r>
    <x v="5"/>
    <x v="2"/>
    <n v="28.91"/>
    <n v="52.98"/>
  </r>
  <r>
    <x v="6"/>
    <x v="0"/>
    <n v="21.69"/>
    <n v="38.08"/>
  </r>
  <r>
    <x v="6"/>
    <x v="1"/>
    <n v="19.07"/>
    <n v="30.54"/>
  </r>
  <r>
    <x v="6"/>
    <x v="2"/>
    <n v="12.81"/>
    <n v="31.47"/>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574"/>
    <n v="55074.199999999975"/>
    <n v="34.99"/>
    <n v="7.64"/>
    <n v="0.20300000000000001"/>
  </r>
  <r>
    <x v="0"/>
    <x v="1"/>
    <n v="2389"/>
    <n v="86499.130000000179"/>
    <n v="36.21"/>
    <n v="12"/>
    <n v="0.20300000000000001"/>
  </r>
  <r>
    <x v="1"/>
    <x v="0"/>
    <n v="2384"/>
    <n v="181188.21999999997"/>
    <n v="76"/>
    <n v="25.13"/>
    <n v="0.45600000000000002"/>
  </r>
  <r>
    <x v="1"/>
    <x v="1"/>
    <n v="3764"/>
    <n v="279684.0399999998"/>
    <n v="74.31"/>
    <n v="38.79"/>
    <n v="0.45400000000000001"/>
  </r>
  <r>
    <x v="2"/>
    <x v="0"/>
    <n v="323"/>
    <n v="42117.570000000007"/>
    <n v="130.38999999999999"/>
    <n v="5.84"/>
    <n v="0.80100000000000005"/>
  </r>
  <r>
    <x v="2"/>
    <x v="1"/>
    <n v="566"/>
    <n v="76418.529999999941"/>
    <n v="135.02000000000001"/>
    <n v="10.6"/>
    <n v="0.79300000000000004"/>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x v="0"/>
    <s v="Counterfeit"/>
    <n v="56"/>
    <n v="10"/>
    <n v="17.86"/>
    <n v="99.93"/>
    <n v="1657.3"/>
    <n v="29.62"/>
  </r>
  <r>
    <x v="0"/>
    <x v="0"/>
    <s v="DNOTR"/>
    <n v="67"/>
    <n v="45"/>
    <n v="67.16"/>
    <n v="108.38"/>
    <n v="4705.74"/>
    <n v="64.81"/>
  </r>
  <r>
    <x v="0"/>
    <x v="0"/>
    <s v="Damaged"/>
    <n v="195"/>
    <n v="4"/>
    <n v="2.0499999999999998"/>
    <n v="44.79"/>
    <n v="360.66"/>
    <n v="4.13"/>
  </r>
  <r>
    <x v="0"/>
    <x v="0"/>
    <s v="MattDiff"/>
    <n v="187"/>
    <n v="6"/>
    <n v="3.21"/>
    <n v="47.52"/>
    <n v="602.6"/>
    <n v="6.78"/>
  </r>
  <r>
    <x v="0"/>
    <x v="0"/>
    <s v="Not As Described"/>
    <n v="163"/>
    <n v="7"/>
    <n v="4.29"/>
    <n v="50.69"/>
    <n v="882.3"/>
    <n v="10.68"/>
  </r>
  <r>
    <x v="0"/>
    <x v="0"/>
    <s v="RNOTR"/>
    <n v="116"/>
    <n v="79"/>
    <n v="68.099999999999994"/>
    <n v="87.45"/>
    <n v="7014.29"/>
    <n v="69.14"/>
  </r>
  <r>
    <x v="0"/>
    <x v="0"/>
    <s v="Wrong Item"/>
    <n v="68"/>
    <n v="29"/>
    <n v="42.65"/>
    <n v="118.72"/>
    <n v="3837.44"/>
    <n v="47.53"/>
  </r>
  <r>
    <x v="0"/>
    <x v="1"/>
    <s v="Counterfeit"/>
    <n v="47"/>
    <n v="22"/>
    <n v="46.81"/>
    <n v="37.35"/>
    <n v="1755.6"/>
    <n v="100"/>
  </r>
  <r>
    <x v="0"/>
    <x v="1"/>
    <s v="DNOTR"/>
    <n v="74"/>
    <n v="64"/>
    <n v="86.49"/>
    <n v="27.84"/>
    <n v="2060.34"/>
    <n v="100"/>
  </r>
  <r>
    <x v="0"/>
    <x v="1"/>
    <s v="Damaged"/>
    <n v="114"/>
    <n v="13"/>
    <n v="11.4"/>
    <n v="36.549999999999997"/>
    <n v="154.63999999999999"/>
    <n v="3.71"/>
  </r>
  <r>
    <x v="0"/>
    <x v="1"/>
    <s v="MattDiff"/>
    <n v="119"/>
    <n v="10"/>
    <n v="8.4"/>
    <n v="22.84"/>
    <n v="1606.76"/>
    <n v="59.11"/>
  </r>
  <r>
    <x v="0"/>
    <x v="1"/>
    <s v="Not As Described"/>
    <n v="113"/>
    <n v="13"/>
    <n v="11.5"/>
    <n v="18.54"/>
    <n v="246.19"/>
    <n v="11.75"/>
  </r>
  <r>
    <x v="0"/>
    <x v="1"/>
    <s v="RNOTR"/>
    <n v="100"/>
    <n v="78"/>
    <n v="78"/>
    <n v="33.6"/>
    <n v="2631.93"/>
    <n v="78.34"/>
  </r>
  <r>
    <x v="0"/>
    <x v="1"/>
    <s v="Wrong Item"/>
    <n v="46"/>
    <n v="18"/>
    <n v="39.130000000000003"/>
    <n v="24.14"/>
    <n v="822.61"/>
    <n v="74.069999999999993"/>
  </r>
  <r>
    <x v="0"/>
    <x v="2"/>
    <s v="Counterfeit"/>
    <n v="29"/>
    <n v="6"/>
    <n v="20.69"/>
    <n v="157.25"/>
    <n v="1002.44"/>
    <n v="21.98"/>
  </r>
  <r>
    <x v="0"/>
    <x v="2"/>
    <s v="DNOTR"/>
    <n v="34"/>
    <n v="20"/>
    <n v="58.82"/>
    <n v="75.66"/>
    <n v="1676.16"/>
    <n v="65.150000000000006"/>
  </r>
  <r>
    <x v="0"/>
    <x v="2"/>
    <s v="Damaged"/>
    <n v="91"/>
    <n v="1"/>
    <n v="1.1000000000000001"/>
    <n v="33.909999999999997"/>
    <n v="15.6"/>
    <n v="0.51"/>
  </r>
  <r>
    <x v="0"/>
    <x v="2"/>
    <s v="MattDiff"/>
    <n v="93"/>
    <n v="1"/>
    <n v="1.08"/>
    <n v="65.040000000000006"/>
    <n v="139.86000000000001"/>
    <n v="2.31"/>
  </r>
  <r>
    <x v="0"/>
    <x v="2"/>
    <s v="Not As Described"/>
    <n v="106"/>
    <n v="5"/>
    <n v="4.72"/>
    <n v="52.75"/>
    <n v="269.68"/>
    <n v="4.82"/>
  </r>
  <r>
    <x v="0"/>
    <x v="2"/>
    <s v="RNOTR"/>
    <n v="57"/>
    <n v="44"/>
    <n v="77.19"/>
    <n v="151.96"/>
    <n v="6371.51"/>
    <n v="73.56"/>
  </r>
  <r>
    <x v="0"/>
    <x v="2"/>
    <s v="Wrong Item"/>
    <n v="48"/>
    <n v="17"/>
    <n v="35.42"/>
    <n v="101.3"/>
    <n v="2518.91"/>
    <n v="51.8"/>
  </r>
  <r>
    <x v="0"/>
    <x v="3"/>
    <s v="Counterfeit"/>
    <n v="93"/>
    <n v="46"/>
    <n v="49.46"/>
    <n v="89.25"/>
    <n v="6886.87"/>
    <n v="82.97"/>
  </r>
  <r>
    <x v="0"/>
    <x v="3"/>
    <s v="DNOTR"/>
    <n v="67"/>
    <n v="57"/>
    <n v="85.07"/>
    <n v="125.94"/>
    <n v="8265.33"/>
    <n v="97.95"/>
  </r>
  <r>
    <x v="0"/>
    <x v="3"/>
    <s v="Damaged"/>
    <n v="203"/>
    <n v="41"/>
    <n v="20.2"/>
    <n v="56.11"/>
    <n v="3760.11"/>
    <n v="33.01"/>
  </r>
  <r>
    <x v="0"/>
    <x v="3"/>
    <s v="MattDiff"/>
    <n v="189"/>
    <n v="28"/>
    <n v="14.81"/>
    <n v="55.24"/>
    <n v="3295.09"/>
    <n v="31.56"/>
  </r>
  <r>
    <x v="0"/>
    <x v="3"/>
    <s v="Not As Described"/>
    <n v="218"/>
    <n v="31"/>
    <n v="14.22"/>
    <n v="61.8"/>
    <n v="3876.18"/>
    <n v="28.77"/>
  </r>
  <r>
    <x v="0"/>
    <x v="3"/>
    <s v="RNOTR"/>
    <n v="173"/>
    <n v="144"/>
    <n v="83.24"/>
    <n v="113.11"/>
    <n v="18846.650000000001"/>
    <n v="96.31"/>
  </r>
  <r>
    <x v="0"/>
    <x v="3"/>
    <s v="Wrong Item"/>
    <n v="150"/>
    <n v="84"/>
    <n v="56"/>
    <n v="114.1"/>
    <n v="15166.45"/>
    <n v="88.61"/>
  </r>
  <r>
    <x v="0"/>
    <x v="4"/>
    <s v="Counterfeit"/>
    <n v="28"/>
    <n v="4"/>
    <n v="14.29"/>
    <n v="91.51"/>
    <n v="1005.87"/>
    <n v="39.26"/>
  </r>
  <r>
    <x v="0"/>
    <x v="4"/>
    <s v="DNOTR"/>
    <n v="51"/>
    <n v="43"/>
    <n v="84.31"/>
    <n v="104.08"/>
    <n v="3562.24"/>
    <n v="67.11"/>
  </r>
  <r>
    <x v="0"/>
    <x v="4"/>
    <s v="Damaged"/>
    <n v="137"/>
    <n v="3"/>
    <n v="2.19"/>
    <n v="44.4"/>
    <n v="439.32"/>
    <n v="7.22"/>
  </r>
  <r>
    <x v="0"/>
    <x v="4"/>
    <s v="MattDiff"/>
    <n v="124"/>
    <n v="4"/>
    <n v="3.23"/>
    <n v="47.95"/>
    <n v="630.54999999999995"/>
    <n v="10.61"/>
  </r>
  <r>
    <x v="0"/>
    <x v="4"/>
    <s v="Not As Described"/>
    <n v="136"/>
    <n v="3"/>
    <n v="2.21"/>
    <n v="59.25"/>
    <n v="627.55999999999995"/>
    <n v="7.79"/>
  </r>
  <r>
    <x v="0"/>
    <x v="4"/>
    <s v="RNOTR"/>
    <n v="81"/>
    <n v="51"/>
    <n v="62.96"/>
    <n v="161.19999999999999"/>
    <n v="9165.2900000000009"/>
    <n v="70.19"/>
  </r>
  <r>
    <x v="0"/>
    <x v="4"/>
    <s v="Wrong Item"/>
    <n v="64"/>
    <n v="21"/>
    <n v="32.81"/>
    <n v="106.82"/>
    <n v="3821.01"/>
    <n v="55.89"/>
  </r>
  <r>
    <x v="0"/>
    <x v="5"/>
    <s v="Counterfeit"/>
    <n v="11"/>
    <n v="5"/>
    <n v="45.45"/>
    <n v="42.92"/>
    <n v="472.1"/>
    <n v="100"/>
  </r>
  <r>
    <x v="0"/>
    <x v="5"/>
    <s v="DNOTR"/>
    <n v="27"/>
    <n v="20"/>
    <n v="74.069999999999993"/>
    <n v="22.48"/>
    <n v="606.91999999999996"/>
    <n v="100"/>
  </r>
  <r>
    <x v="0"/>
    <x v="5"/>
    <s v="Damaged"/>
    <n v="51"/>
    <n v="7"/>
    <n v="13.73"/>
    <n v="14.45"/>
    <n v="64.58"/>
    <n v="8.76"/>
  </r>
  <r>
    <x v="0"/>
    <x v="5"/>
    <s v="MattDiff"/>
    <n v="43"/>
    <n v="5"/>
    <n v="11.63"/>
    <n v="19.45"/>
    <n v="65.77"/>
    <n v="7.86"/>
  </r>
  <r>
    <x v="0"/>
    <x v="5"/>
    <s v="Not As Described"/>
    <n v="52"/>
    <n v="3"/>
    <n v="5.77"/>
    <n v="27.94"/>
    <n v="138.35"/>
    <n v="9.52"/>
  </r>
  <r>
    <x v="0"/>
    <x v="5"/>
    <s v="RNOTR"/>
    <n v="38"/>
    <n v="33"/>
    <n v="86.84"/>
    <n v="43.51"/>
    <n v="1377.55"/>
    <n v="83.31"/>
  </r>
  <r>
    <x v="0"/>
    <x v="5"/>
    <s v="Wrong Item"/>
    <n v="17"/>
    <n v="3"/>
    <n v="17.649999999999999"/>
    <n v="9.42"/>
    <n v="135.87"/>
    <n v="84.82"/>
  </r>
  <r>
    <x v="0"/>
    <x v="6"/>
    <s v="Counterfeit"/>
    <n v="21"/>
    <n v="1"/>
    <n v="4.76"/>
    <n v="43.93"/>
    <n v="173.03"/>
    <n v="18.75"/>
  </r>
  <r>
    <x v="0"/>
    <x v="6"/>
    <s v="DNOTR"/>
    <n v="36"/>
    <n v="34"/>
    <n v="94.44"/>
    <n v="120.86"/>
    <n v="4221.17"/>
    <n v="97.02"/>
  </r>
  <r>
    <x v="0"/>
    <x v="6"/>
    <s v="Damaged"/>
    <n v="95"/>
    <n v="0"/>
    <n v="0"/>
    <n v="40.119999999999997"/>
    <n v="0"/>
    <n v="0"/>
  </r>
  <r>
    <x v="0"/>
    <x v="6"/>
    <s v="MattDiff"/>
    <n v="93"/>
    <n v="0"/>
    <n v="0"/>
    <n v="53.37"/>
    <n v="0"/>
    <n v="0"/>
  </r>
  <r>
    <x v="0"/>
    <x v="6"/>
    <s v="Not As Described"/>
    <n v="76"/>
    <n v="7"/>
    <n v="9.2100000000000009"/>
    <n v="60.7"/>
    <n v="1199.1500000000001"/>
    <n v="25.99"/>
  </r>
  <r>
    <x v="0"/>
    <x v="6"/>
    <s v="RNOTR"/>
    <n v="54"/>
    <n v="36"/>
    <n v="66.67"/>
    <n v="94.65"/>
    <n v="3946.95"/>
    <n v="77.23"/>
  </r>
  <r>
    <x v="0"/>
    <x v="6"/>
    <s v="Wrong Item"/>
    <n v="30"/>
    <n v="4"/>
    <n v="13.33"/>
    <n v="83.55"/>
    <n v="681.44"/>
    <n v="27.19"/>
  </r>
  <r>
    <x v="1"/>
    <x v="0"/>
    <s v="Counterfeit"/>
    <n v="86"/>
    <n v="13"/>
    <n v="15.12"/>
    <n v="91.05"/>
    <n v="2119.33"/>
    <n v="27.07"/>
  </r>
  <r>
    <x v="1"/>
    <x v="0"/>
    <s v="DNOTR"/>
    <n v="106"/>
    <n v="87"/>
    <n v="82.08"/>
    <n v="112.64"/>
    <n v="10211.15"/>
    <n v="85.52"/>
  </r>
  <r>
    <x v="1"/>
    <x v="0"/>
    <s v="Damaged"/>
    <n v="288"/>
    <n v="4"/>
    <n v="1.39"/>
    <n v="57.18"/>
    <n v="584.09"/>
    <n v="3.55"/>
  </r>
  <r>
    <x v="1"/>
    <x v="0"/>
    <s v="MattDiff"/>
    <n v="303"/>
    <n v="6"/>
    <n v="1.98"/>
    <n v="55.26"/>
    <n v="947.89"/>
    <n v="5.66"/>
  </r>
  <r>
    <x v="1"/>
    <x v="0"/>
    <s v="Not As Described"/>
    <n v="271"/>
    <n v="7"/>
    <n v="2.58"/>
    <n v="52.99"/>
    <n v="521.07000000000005"/>
    <n v="3.63"/>
  </r>
  <r>
    <x v="1"/>
    <x v="0"/>
    <s v="RNOTR"/>
    <n v="190"/>
    <n v="142"/>
    <n v="74.739999999999995"/>
    <n v="96.52"/>
    <n v="16059.52"/>
    <n v="87.57"/>
  </r>
  <r>
    <x v="1"/>
    <x v="0"/>
    <s v="Wrong Item"/>
    <n v="126"/>
    <n v="37"/>
    <n v="29.37"/>
    <n v="95.31"/>
    <n v="3878.03"/>
    <n v="32.29"/>
  </r>
  <r>
    <x v="1"/>
    <x v="1"/>
    <s v="Counterfeit"/>
    <n v="56"/>
    <n v="26"/>
    <n v="46.43"/>
    <n v="64.92"/>
    <n v="3635.65"/>
    <n v="100"/>
  </r>
  <r>
    <x v="1"/>
    <x v="1"/>
    <s v="DNOTR"/>
    <n v="117"/>
    <n v="99"/>
    <n v="84.62"/>
    <n v="26.34"/>
    <n v="3081.91"/>
    <n v="100"/>
  </r>
  <r>
    <x v="1"/>
    <x v="1"/>
    <s v="Damaged"/>
    <n v="172"/>
    <n v="17"/>
    <n v="9.8800000000000008"/>
    <n v="17.690000000000001"/>
    <n v="485.7"/>
    <n v="15.96"/>
  </r>
  <r>
    <x v="1"/>
    <x v="1"/>
    <s v="MattDiff"/>
    <n v="190"/>
    <n v="17"/>
    <n v="8.9499999999999993"/>
    <n v="16"/>
    <n v="498"/>
    <n v="16.39"/>
  </r>
  <r>
    <x v="1"/>
    <x v="1"/>
    <s v="Not As Described"/>
    <n v="181"/>
    <n v="19"/>
    <n v="10.5"/>
    <n v="14.19"/>
    <n v="605.62"/>
    <n v="23.57"/>
  </r>
  <r>
    <x v="1"/>
    <x v="1"/>
    <s v="RNOTR"/>
    <n v="145"/>
    <n v="110"/>
    <n v="75.86"/>
    <n v="26.59"/>
    <n v="3594.01"/>
    <n v="93.22"/>
  </r>
  <r>
    <x v="1"/>
    <x v="1"/>
    <s v="Wrong Item"/>
    <n v="73"/>
    <n v="33"/>
    <n v="45.21"/>
    <n v="86.17"/>
    <n v="5153.84"/>
    <n v="81.94"/>
  </r>
  <r>
    <x v="1"/>
    <x v="2"/>
    <s v="Counterfeit"/>
    <n v="45"/>
    <n v="7"/>
    <n v="15.56"/>
    <n v="174.27"/>
    <n v="1798.4"/>
    <n v="22.93"/>
  </r>
  <r>
    <x v="1"/>
    <x v="2"/>
    <s v="DNOTR"/>
    <n v="54"/>
    <n v="36"/>
    <n v="66.67"/>
    <n v="130.13999999999999"/>
    <n v="5415"/>
    <n v="77.06"/>
  </r>
  <r>
    <x v="1"/>
    <x v="2"/>
    <s v="Damaged"/>
    <n v="150"/>
    <n v="1"/>
    <n v="0.67"/>
    <n v="53.74"/>
    <n v="98.87"/>
    <n v="1.23"/>
  </r>
  <r>
    <x v="1"/>
    <x v="2"/>
    <s v="MattDiff"/>
    <n v="137"/>
    <n v="2"/>
    <n v="1.46"/>
    <n v="52.29"/>
    <n v="235.13"/>
    <n v="3.28"/>
  </r>
  <r>
    <x v="1"/>
    <x v="2"/>
    <s v="Not As Described"/>
    <n v="119"/>
    <n v="3"/>
    <n v="2.52"/>
    <n v="62.5"/>
    <n v="1057.94"/>
    <n v="14.22"/>
  </r>
  <r>
    <x v="1"/>
    <x v="2"/>
    <s v="RNOTR"/>
    <n v="103"/>
    <n v="79"/>
    <n v="76.7"/>
    <n v="78.37"/>
    <n v="6158.28"/>
    <n v="76.290000000000006"/>
  </r>
  <r>
    <x v="1"/>
    <x v="2"/>
    <s v="Wrong Item"/>
    <n v="68"/>
    <n v="22"/>
    <n v="32.35"/>
    <n v="111.11"/>
    <n v="1712.49"/>
    <n v="22.66"/>
  </r>
  <r>
    <x v="1"/>
    <x v="3"/>
    <s v="Counterfeit"/>
    <n v="144"/>
    <n v="75"/>
    <n v="52.08"/>
    <n v="119.19"/>
    <n v="15101.88"/>
    <n v="87.99"/>
  </r>
  <r>
    <x v="1"/>
    <x v="3"/>
    <s v="DNOTR"/>
    <n v="122"/>
    <n v="99"/>
    <n v="81.150000000000006"/>
    <n v="103.4"/>
    <n v="12046.96"/>
    <n v="95.5"/>
  </r>
  <r>
    <x v="1"/>
    <x v="3"/>
    <s v="Damaged"/>
    <n v="289"/>
    <n v="35"/>
    <n v="12.11"/>
    <n v="55.81"/>
    <n v="3870.29"/>
    <n v="23.99"/>
  </r>
  <r>
    <x v="1"/>
    <x v="3"/>
    <s v="MattDiff"/>
    <n v="325"/>
    <n v="54"/>
    <n v="16.62"/>
    <n v="49.83"/>
    <n v="4736.3100000000004"/>
    <n v="29.25"/>
  </r>
  <r>
    <x v="1"/>
    <x v="3"/>
    <s v="Not As Described"/>
    <n v="309"/>
    <n v="46"/>
    <n v="14.89"/>
    <n v="54.24"/>
    <n v="5556.67"/>
    <n v="33.159999999999997"/>
  </r>
  <r>
    <x v="1"/>
    <x v="3"/>
    <s v="RNOTR"/>
    <n v="320"/>
    <n v="280"/>
    <n v="87.5"/>
    <n v="120.96"/>
    <n v="37524.94"/>
    <n v="96.95"/>
  </r>
  <r>
    <x v="1"/>
    <x v="3"/>
    <s v="Wrong Item"/>
    <n v="227"/>
    <n v="128"/>
    <n v="56.39"/>
    <n v="109.8"/>
    <n v="22503.62"/>
    <n v="90.29"/>
  </r>
  <r>
    <x v="1"/>
    <x v="4"/>
    <s v="Counterfeit"/>
    <n v="75"/>
    <n v="21"/>
    <n v="28"/>
    <n v="123.93"/>
    <n v="2464.65"/>
    <n v="26.52"/>
  </r>
  <r>
    <x v="1"/>
    <x v="4"/>
    <s v="DNOTR"/>
    <n v="71"/>
    <n v="59"/>
    <n v="83.1"/>
    <n v="114.55"/>
    <n v="6296.62"/>
    <n v="77.42"/>
  </r>
  <r>
    <x v="1"/>
    <x v="4"/>
    <s v="Damaged"/>
    <n v="211"/>
    <n v="4"/>
    <n v="1.9"/>
    <n v="51.24"/>
    <n v="694.14"/>
    <n v="6.42"/>
  </r>
  <r>
    <x v="1"/>
    <x v="4"/>
    <s v="MattDiff"/>
    <n v="191"/>
    <n v="5"/>
    <n v="2.62"/>
    <n v="49.21"/>
    <n v="388.25"/>
    <n v="4.13"/>
  </r>
  <r>
    <x v="1"/>
    <x v="4"/>
    <s v="Not As Described"/>
    <n v="200"/>
    <n v="2"/>
    <n v="1"/>
    <n v="54.74"/>
    <n v="89.68"/>
    <n v="0.82"/>
  </r>
  <r>
    <x v="1"/>
    <x v="4"/>
    <s v="RNOTR"/>
    <n v="135"/>
    <n v="100"/>
    <n v="74.069999999999993"/>
    <n v="114.67"/>
    <n v="12143.43"/>
    <n v="78.44"/>
  </r>
  <r>
    <x v="1"/>
    <x v="4"/>
    <s v="Wrong Item"/>
    <n v="89"/>
    <n v="30"/>
    <n v="33.71"/>
    <n v="96.91"/>
    <n v="3224.2"/>
    <n v="37.380000000000003"/>
  </r>
  <r>
    <x v="1"/>
    <x v="5"/>
    <s v="Counterfeit"/>
    <n v="25"/>
    <n v="9"/>
    <n v="36"/>
    <n v="57.37"/>
    <n v="1363.69"/>
    <n v="95.07"/>
  </r>
  <r>
    <x v="1"/>
    <x v="5"/>
    <s v="DNOTR"/>
    <n v="44"/>
    <n v="35"/>
    <n v="79.55"/>
    <n v="63.95"/>
    <n v="2813.66"/>
    <n v="100"/>
  </r>
  <r>
    <x v="1"/>
    <x v="5"/>
    <s v="Damaged"/>
    <n v="77"/>
    <n v="4"/>
    <n v="5.19"/>
    <n v="26.57"/>
    <n v="15.09"/>
    <n v="0.74"/>
  </r>
  <r>
    <x v="1"/>
    <x v="5"/>
    <s v="MattDiff"/>
    <n v="84"/>
    <n v="8"/>
    <n v="9.52"/>
    <n v="18.22"/>
    <n v="2.06"/>
    <n v="0.13"/>
  </r>
  <r>
    <x v="1"/>
    <x v="5"/>
    <s v="Not As Described"/>
    <n v="80"/>
    <n v="10"/>
    <n v="12.5"/>
    <n v="12.6"/>
    <n v="352.04"/>
    <n v="34.93"/>
  </r>
  <r>
    <x v="1"/>
    <x v="5"/>
    <s v="RNOTR"/>
    <n v="60"/>
    <n v="49"/>
    <n v="81.67"/>
    <n v="26.4"/>
    <n v="1543.11"/>
    <n v="97.43"/>
  </r>
  <r>
    <x v="1"/>
    <x v="5"/>
    <s v="Wrong Item"/>
    <n v="35"/>
    <n v="14"/>
    <n v="40"/>
    <n v="92.29"/>
    <n v="2047.05"/>
    <n v="63.38"/>
  </r>
  <r>
    <x v="1"/>
    <x v="6"/>
    <s v="Counterfeit"/>
    <n v="46"/>
    <n v="8"/>
    <n v="17.39"/>
    <n v="59.54"/>
    <n v="1007.21"/>
    <n v="36.770000000000003"/>
  </r>
  <r>
    <x v="1"/>
    <x v="6"/>
    <s v="DNOTR"/>
    <n v="46"/>
    <n v="33"/>
    <n v="71.739999999999995"/>
    <n v="89.17"/>
    <n v="3003.41"/>
    <n v="73.22"/>
  </r>
  <r>
    <x v="1"/>
    <x v="6"/>
    <s v="Damaged"/>
    <n v="123"/>
    <n v="1"/>
    <n v="0.81"/>
    <n v="49.61"/>
    <n v="143.84"/>
    <n v="2.36"/>
  </r>
  <r>
    <x v="1"/>
    <x v="6"/>
    <s v="MattDiff"/>
    <n v="144"/>
    <n v="2"/>
    <n v="1.39"/>
    <n v="49.5"/>
    <n v="586.79999999999995"/>
    <n v="8.23"/>
  </r>
  <r>
    <x v="1"/>
    <x v="6"/>
    <s v="Not As Described"/>
    <n v="133"/>
    <n v="3"/>
    <n v="2.2599999999999998"/>
    <n v="40.26"/>
    <n v="531.01"/>
    <n v="9.92"/>
  </r>
  <r>
    <x v="1"/>
    <x v="6"/>
    <s v="RNOTR"/>
    <n v="75"/>
    <n v="52"/>
    <n v="69.33"/>
    <n v="93.96"/>
    <n v="5025.96"/>
    <n v="71.319999999999993"/>
  </r>
  <r>
    <x v="1"/>
    <x v="6"/>
    <s v="Wrong Item"/>
    <n v="59"/>
    <n v="15"/>
    <n v="25.42"/>
    <n v="83.61"/>
    <n v="1137.93"/>
    <n v="23.07"/>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100"/>
    <n v="640.29"/>
    <n v="640.29"/>
    <n v="100"/>
    <n v="0.75302538243413275"/>
  </r>
  <r>
    <x v="1"/>
    <x v="0"/>
    <n v="100"/>
    <n v="402.12"/>
    <n v="402.12"/>
    <n v="100"/>
    <n v="0.67933470392198547"/>
  </r>
  <r>
    <x v="2"/>
    <x v="0"/>
    <n v="100"/>
    <n v="5.85"/>
    <n v="5.85"/>
    <n v="100"/>
    <n v="0.57009067754708309"/>
  </r>
  <r>
    <x v="3"/>
    <x v="0"/>
    <n v="100"/>
    <n v="629.44000000000005"/>
    <n v="629.44000000000005"/>
    <n v="100"/>
    <n v="0.61308258899323376"/>
  </r>
  <r>
    <x v="4"/>
    <x v="0"/>
    <n v="92.86"/>
    <n v="884.9"/>
    <n v="870.48"/>
    <n v="98.370437337552275"/>
    <n v="0.6271631268059249"/>
  </r>
  <r>
    <x v="5"/>
    <x v="0"/>
    <n v="92.31"/>
    <n v="1741.69"/>
    <n v="1684.96"/>
    <n v="96.742818756495126"/>
    <n v="0.61640666884606332"/>
  </r>
  <r>
    <x v="6"/>
    <x v="0"/>
    <n v="91.67"/>
    <n v="864.67000000000007"/>
    <n v="833.04000000000008"/>
    <n v="96.341957047197212"/>
    <n v="0.67273123530608947"/>
  </r>
  <r>
    <x v="7"/>
    <x v="1"/>
    <n v="90"/>
    <n v="2007.3799999999999"/>
    <n v="1981.32"/>
    <n v="98.701790393448178"/>
    <n v="0.68528619461177631"/>
  </r>
  <r>
    <x v="8"/>
    <x v="1"/>
    <n v="90"/>
    <n v="692.12"/>
    <n v="682.9"/>
    <n v="98.667861064555282"/>
    <n v="0.56404492236963466"/>
  </r>
  <r>
    <x v="9"/>
    <x v="1"/>
    <n v="90"/>
    <n v="823.38"/>
    <n v="808.2"/>
    <n v="98.156379800335202"/>
    <n v="0.75312211387353467"/>
  </r>
  <r>
    <x v="10"/>
    <x v="0"/>
    <n v="89.47"/>
    <n v="837.92"/>
    <n v="804.78"/>
    <n v="96.04496849341227"/>
    <n v="0.60492507396847373"/>
  </r>
  <r>
    <x v="11"/>
    <x v="0"/>
    <n v="88.89"/>
    <n v="1008.09"/>
    <n v="967.07"/>
    <n v="95.930918866371059"/>
    <n v="0.59511181134702529"/>
  </r>
  <r>
    <x v="12"/>
    <x v="0"/>
    <n v="86.67"/>
    <n v="389.58000000000004"/>
    <n v="368.85"/>
    <n v="94.678884953026326"/>
    <n v="0.60435641119571548"/>
  </r>
  <r>
    <x v="13"/>
    <x v="1"/>
    <n v="85.71"/>
    <n v="693.46999999999991"/>
    <n v="662.03"/>
    <n v="95.466278281684879"/>
    <n v="0.61718322481696042"/>
  </r>
  <r>
    <x v="14"/>
    <x v="0"/>
    <n v="85.71"/>
    <n v="992.93999999999983"/>
    <n v="941.69999999999982"/>
    <n v="94.839567345458946"/>
    <n v="0.64800968447459861"/>
  </r>
  <r>
    <x v="15"/>
    <x v="0"/>
    <n v="83.33"/>
    <n v="1114.67"/>
    <n v="1092.5999999999999"/>
    <n v="98.020041806095051"/>
    <n v="0.58835201531187764"/>
  </r>
  <r>
    <x v="16"/>
    <x v="1"/>
    <n v="83.33"/>
    <n v="1693.98"/>
    <n v="1560.37"/>
    <n v="92.112657764554484"/>
    <n v="0.53358526015361307"/>
  </r>
  <r>
    <x v="17"/>
    <x v="0"/>
    <n v="83.33"/>
    <n v="820.94"/>
    <n v="716.74"/>
    <n v="87.307233171729962"/>
    <n v="0.61952976210788002"/>
  </r>
  <r>
    <x v="18"/>
    <x v="0"/>
    <n v="82.35"/>
    <n v="1152.5900000000001"/>
    <n v="1103.69"/>
    <n v="95.757381202335594"/>
    <n v="0.55794376114528554"/>
  </r>
  <r>
    <x v="19"/>
    <x v="1"/>
    <n v="81.819999999999993"/>
    <n v="1225.3800000000001"/>
    <n v="1201.4000000000001"/>
    <n v="98.043056031598368"/>
    <n v="0.538059629402721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8E9084-D0CC-4898-AB11-E5E244903E42}" name="PivotTable38" cacheId="8"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compact="0" compactData="0" multipleFieldFilters="0">
  <location ref="B191:E205" firstHeaderRow="0" firstDataRow="1" firstDataCol="2"/>
  <pivotFields count="9">
    <pivotField axis="axisRow" compact="0" outline="0" showAll="0" defaultSubtotal="0">
      <items count="2">
        <item x="0"/>
        <item x="1"/>
      </items>
    </pivotField>
    <pivotField axis="axisRow" compact="0"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s>
  <rowFields count="2">
    <field x="1"/>
    <field x="0"/>
  </rowFields>
  <rowItems count="14">
    <i>
      <x/>
      <x/>
    </i>
    <i r="1">
      <x v="1"/>
    </i>
    <i>
      <x v="1"/>
      <x/>
    </i>
    <i r="1">
      <x v="1"/>
    </i>
    <i>
      <x v="2"/>
      <x/>
    </i>
    <i r="1">
      <x v="1"/>
    </i>
    <i>
      <x v="3"/>
      <x/>
    </i>
    <i r="1">
      <x v="1"/>
    </i>
    <i>
      <x v="4"/>
      <x/>
    </i>
    <i r="1">
      <x v="1"/>
    </i>
    <i>
      <x v="5"/>
      <x/>
    </i>
    <i r="1">
      <x v="1"/>
    </i>
    <i>
      <x v="6"/>
      <x/>
    </i>
    <i r="1">
      <x v="1"/>
    </i>
  </rowItems>
  <colFields count="1">
    <field x="-2"/>
  </colFields>
  <colItems count="2">
    <i>
      <x/>
    </i>
    <i i="1">
      <x v="1"/>
    </i>
  </colItems>
  <dataFields count="2">
    <dataField name="Average Fraud Rate" fld="5" subtotal="average" baseField="0" baseItem="0"/>
    <dataField name="Average Fraud Refund Share %" fld="8" subtotal="average" baseField="0" baseItem="0"/>
  </dataFields>
  <formats count="19">
    <format dxfId="21">
      <pivotArea outline="0" collapsedLevelsAreSubtotals="1" fieldPosition="0"/>
    </format>
    <format dxfId="20">
      <pivotArea outline="0" collapsedLevelsAreSubtotals="1" fieldPosition="0"/>
    </format>
    <format dxfId="19">
      <pivotArea dataOnly="0" labelOnly="1" outline="0" fieldPosition="0">
        <references count="1">
          <reference field="1" count="0"/>
        </references>
      </pivotArea>
    </format>
    <format dxfId="18">
      <pivotArea dataOnly="0" labelOnly="1" outline="0" fieldPosition="0">
        <references count="2">
          <reference field="0" count="0"/>
          <reference field="1" count="1" selected="0">
            <x v="0"/>
          </reference>
        </references>
      </pivotArea>
    </format>
    <format dxfId="17">
      <pivotArea dataOnly="0" labelOnly="1" outline="0" fieldPosition="0">
        <references count="2">
          <reference field="0" count="0"/>
          <reference field="1" count="1" selected="0">
            <x v="1"/>
          </reference>
        </references>
      </pivotArea>
    </format>
    <format dxfId="16">
      <pivotArea dataOnly="0" labelOnly="1" outline="0" fieldPosition="0">
        <references count="2">
          <reference field="0" count="0"/>
          <reference field="1" count="1" selected="0">
            <x v="2"/>
          </reference>
        </references>
      </pivotArea>
    </format>
    <format dxfId="15">
      <pivotArea dataOnly="0" labelOnly="1" outline="0" fieldPosition="0">
        <references count="2">
          <reference field="0" count="0"/>
          <reference field="1" count="1" selected="0">
            <x v="3"/>
          </reference>
        </references>
      </pivotArea>
    </format>
    <format dxfId="14">
      <pivotArea dataOnly="0" labelOnly="1" outline="0" fieldPosition="0">
        <references count="2">
          <reference field="0" count="0"/>
          <reference field="1" count="1" selected="0">
            <x v="4"/>
          </reference>
        </references>
      </pivotArea>
    </format>
    <format dxfId="13">
      <pivotArea dataOnly="0" labelOnly="1" outline="0" fieldPosition="0">
        <references count="2">
          <reference field="0" count="0"/>
          <reference field="1" count="1" selected="0">
            <x v="5"/>
          </reference>
        </references>
      </pivotArea>
    </format>
    <format dxfId="12">
      <pivotArea dataOnly="0" labelOnly="1" outline="0" fieldPosition="0">
        <references count="2">
          <reference field="0" count="0"/>
          <reference field="1" count="1" selected="0">
            <x v="6"/>
          </reference>
        </references>
      </pivotArea>
    </format>
    <format dxfId="11">
      <pivotArea outline="0" collapsedLevelsAreSubtotals="1" fieldPosition="0"/>
    </format>
    <format dxfId="10">
      <pivotArea dataOnly="0" labelOnly="1" outline="0" fieldPosition="0">
        <references count="1">
          <reference field="1" count="0"/>
        </references>
      </pivotArea>
    </format>
    <format dxfId="9">
      <pivotArea dataOnly="0" labelOnly="1" outline="0" fieldPosition="0">
        <references count="2">
          <reference field="0" count="0"/>
          <reference field="1" count="1" selected="0">
            <x v="0"/>
          </reference>
        </references>
      </pivotArea>
    </format>
    <format dxfId="8">
      <pivotArea dataOnly="0" labelOnly="1" outline="0" fieldPosition="0">
        <references count="2">
          <reference field="0" count="0"/>
          <reference field="1" count="1" selected="0">
            <x v="1"/>
          </reference>
        </references>
      </pivotArea>
    </format>
    <format dxfId="7">
      <pivotArea dataOnly="0" labelOnly="1" outline="0" fieldPosition="0">
        <references count="2">
          <reference field="0" count="0"/>
          <reference field="1" count="1" selected="0">
            <x v="2"/>
          </reference>
        </references>
      </pivotArea>
    </format>
    <format dxfId="6">
      <pivotArea dataOnly="0" labelOnly="1" outline="0" fieldPosition="0">
        <references count="2">
          <reference field="0" count="0"/>
          <reference field="1" count="1" selected="0">
            <x v="3"/>
          </reference>
        </references>
      </pivotArea>
    </format>
    <format dxfId="5">
      <pivotArea dataOnly="0" labelOnly="1" outline="0" fieldPosition="0">
        <references count="2">
          <reference field="0" count="0"/>
          <reference field="1" count="1" selected="0">
            <x v="4"/>
          </reference>
        </references>
      </pivotArea>
    </format>
    <format dxfId="4">
      <pivotArea dataOnly="0" labelOnly="1" outline="0" fieldPosition="0">
        <references count="2">
          <reference field="0" count="0"/>
          <reference field="1" count="1" selected="0">
            <x v="5"/>
          </reference>
        </references>
      </pivotArea>
    </format>
    <format dxfId="3">
      <pivotArea dataOnly="0" labelOnly="1" outline="0" fieldPosition="0">
        <references count="2">
          <reference field="0" count="0"/>
          <reference field="1" count="1" selected="0">
            <x v="6"/>
          </reference>
        </references>
      </pivotArea>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0378F-9D42-49CB-8EC0-3451C2804DAB}" name="PivotTable17"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G26:H28" firstHeaderRow="1" firstDataRow="1" firstDataCol="1"/>
  <pivotFields count="6">
    <pivotField axis="axisRow" showAll="0">
      <items count="3">
        <item x="0"/>
        <item x="1"/>
        <item t="default"/>
      </items>
    </pivotField>
    <pivotField showAll="0">
      <items count="4">
        <item x="0"/>
        <item x="1"/>
        <item x="2"/>
        <item t="default"/>
      </items>
    </pivotField>
    <pivotField showAll="0"/>
    <pivotField showAll="0"/>
    <pivotField showAll="0"/>
    <pivotField dataField="1" showAll="0"/>
  </pivotFields>
  <rowFields count="1">
    <field x="0"/>
  </rowFields>
  <rowItems count="2">
    <i>
      <x/>
    </i>
    <i>
      <x v="1"/>
    </i>
  </rowItems>
  <colItems count="1">
    <i/>
  </colItems>
  <dataFields count="1">
    <dataField name="Average of sla_breach_days_pct" fld="5" subtotal="average" baseField="1" baseItem="0" numFmtId="2"/>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AF698-B64F-48FF-994B-B04F341CAFD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02:G106" firstHeaderRow="1" firstDataRow="1" firstDataCol="1"/>
  <pivotFields count="8">
    <pivotField axis="axisRow" showAll="0">
      <items count="4">
        <item x="2"/>
        <item x="1"/>
        <item x="0"/>
        <item t="default"/>
      </items>
    </pivotField>
    <pivotField showAll="0"/>
    <pivotField showAll="0"/>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Average of fraud_impact_index" fld="7" subtotal="average" baseField="0" baseItem="0"/>
  </dataFields>
  <formats count="1">
    <format dxfId="23">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6F6C82-8F6C-4B51-8765-74EF3B17AF61}" name="PivotTable1" cacheId="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102:C105" firstHeaderRow="1" firstDataRow="1" firstDataCol="1"/>
  <pivotFields count="4">
    <pivotField showAll="0">
      <items count="8">
        <item x="0"/>
        <item x="1"/>
        <item x="2"/>
        <item x="3"/>
        <item x="4"/>
        <item x="5"/>
        <item x="6"/>
        <item t="default"/>
      </items>
    </pivotField>
    <pivotField axis="axisRow" showAll="0">
      <items count="4">
        <item x="2"/>
        <item x="1"/>
        <item x="0"/>
        <item t="default"/>
      </items>
    </pivotField>
    <pivotField showAll="0"/>
    <pivotField dataField="1" showAll="0"/>
  </pivotFields>
  <rowFields count="1">
    <field x="1"/>
  </rowFields>
  <rowItems count="3">
    <i>
      <x/>
    </i>
    <i>
      <x v="1"/>
    </i>
    <i>
      <x v="2"/>
    </i>
  </rowItems>
  <colItems count="1">
    <i/>
  </colItems>
  <dataFields count="1">
    <dataField name="Average of fraud_refund_share_pct" fld="3" subtotal="average" baseField="1" baseItem="0" numFmtId="2"/>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1C2CA8-D4BF-4443-A92E-14E024F51622}" name="PivotTable1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16:B19" firstHeaderRow="1" firstDataRow="1" firstDataCol="1"/>
  <pivotFields count="8">
    <pivotField axis="axisRow" showAll="0">
      <items count="4">
        <item x="2"/>
        <item x="1"/>
        <item x="0"/>
        <item t="default"/>
      </items>
    </pivotField>
    <pivotField showAll="0">
      <items count="8">
        <item x="3"/>
        <item x="1"/>
        <item x="6"/>
        <item x="0"/>
        <item x="4"/>
        <item x="2"/>
        <item x="5"/>
        <item t="default"/>
      </items>
    </pivotField>
    <pivotField showAll="0"/>
    <pivotField showAll="0"/>
    <pivotField showAll="0"/>
    <pivotField showAll="0"/>
    <pivotField showAll="0"/>
    <pivotField dataField="1" showAll="0"/>
  </pivotFields>
  <rowFields count="1">
    <field x="0"/>
  </rowFields>
  <rowItems count="3">
    <i>
      <x/>
    </i>
    <i>
      <x v="1"/>
    </i>
    <i>
      <x v="2"/>
    </i>
  </rowItems>
  <colItems count="1">
    <i/>
  </colItems>
  <dataFields count="1">
    <dataField name="Average of fraud_impact_index" fld="7" subtotal="average" baseField="0" baseItem="0" numFmtId="2"/>
  </dataFields>
  <formats count="1">
    <format dxfId="25">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BC0FE6-1766-446C-93FA-1593B3CA428A}" name="PivotTable27" cacheId="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B69:E77" firstHeaderRow="1" firstDataRow="2" firstDataCol="1"/>
  <pivotFields count="4">
    <pivotField axis="axisRow" showAll="0">
      <items count="8">
        <item x="0"/>
        <item x="1"/>
        <item x="2"/>
        <item x="3"/>
        <item x="4"/>
        <item x="5"/>
        <item x="6"/>
        <item t="default"/>
      </items>
    </pivotField>
    <pivotField axis="axisCol" showAll="0">
      <items count="4">
        <item x="2"/>
        <item x="1"/>
        <item x="0"/>
        <item t="default"/>
      </items>
    </pivotField>
    <pivotField dataField="1" showAll="0"/>
    <pivotField showAll="0"/>
  </pivotFields>
  <rowFields count="1">
    <field x="0"/>
  </rowFields>
  <rowItems count="7">
    <i>
      <x/>
    </i>
    <i>
      <x v="1"/>
    </i>
    <i>
      <x v="2"/>
    </i>
    <i>
      <x v="3"/>
    </i>
    <i>
      <x v="4"/>
    </i>
    <i>
      <x v="5"/>
    </i>
    <i>
      <x v="6"/>
    </i>
  </rowItems>
  <colFields count="1">
    <field x="1"/>
  </colFields>
  <colItems count="3">
    <i>
      <x/>
    </i>
    <i>
      <x v="1"/>
    </i>
    <i>
      <x v="2"/>
    </i>
  </colItems>
  <dataFields count="1">
    <dataField name="Fraud Rate%" fld="2" subtotal="max" baseField="0" baseItem="0"/>
  </dataFields>
  <chartFormats count="4">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0CCBC5-B09C-4A14-A6F9-51FCC7165BE5}" name="PivotTable20" cacheId="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B45:D48" firstHeaderRow="0" firstDataRow="1" firstDataCol="1"/>
  <pivotFields count="4">
    <pivotField axis="axisRow" showAll="0">
      <items count="4">
        <item x="0"/>
        <item x="1"/>
        <item x="2"/>
        <item t="default"/>
      </items>
    </pivotField>
    <pivotField dataField="1" showAll="0"/>
    <pivotField dataField="1" showAll="0"/>
    <pivotField showAll="0"/>
  </pivotFields>
  <rowFields count="1">
    <field x="0"/>
  </rowFields>
  <rowItems count="3">
    <i>
      <x/>
    </i>
    <i>
      <x v="1"/>
    </i>
    <i>
      <x v="2"/>
    </i>
  </rowItems>
  <colFields count="1">
    <field x="-2"/>
  </colFields>
  <colItems count="2">
    <i>
      <x/>
    </i>
    <i i="1">
      <x v="1"/>
    </i>
  </colItems>
  <dataFields count="2">
    <dataField name="Fraud Rate %" fld="1" subtotal="max" baseField="0" baseItem="0"/>
    <dataField name="Avg Resolution Time" fld="2" subtotal="max" baseField="0" baseItem="0"/>
  </dataFields>
  <chartFormats count="2">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B2CB48-1876-44DD-97CB-FDA21DD9BE47}" name="PivotTable21" cacheId="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54:C57" firstHeaderRow="1" firstDataRow="1" firstDataCol="1"/>
  <pivotFields count="2">
    <pivotField axis="axisRow" showAll="0">
      <items count="4">
        <item x="0"/>
        <item x="1"/>
        <item x="2"/>
        <item t="default"/>
      </items>
    </pivotField>
    <pivotField dataField="1" showAll="0"/>
  </pivotFields>
  <rowFields count="1">
    <field x="0"/>
  </rowFields>
  <rowItems count="3">
    <i>
      <x/>
    </i>
    <i>
      <x v="1"/>
    </i>
    <i>
      <x v="2"/>
    </i>
  </rowItems>
  <colItems count="1">
    <i/>
  </colItems>
  <dataFields count="1">
    <dataField name="Max of refund_amount" fld="1" subtotal="max" baseField="0" baseItem="0" numFmtId="16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1CA76B-70A1-428D-9F91-513F4531B648}" name="PivotTable16"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B26:C29" firstHeaderRow="1" firstDataRow="1" firstDataCol="1"/>
  <pivotFields count="6">
    <pivotField showAll="0"/>
    <pivotField axis="axisRow" showAll="0">
      <items count="4">
        <item x="0"/>
        <item x="1"/>
        <item x="2"/>
        <item t="default"/>
      </items>
    </pivotField>
    <pivotField showAll="0"/>
    <pivotField showAll="0"/>
    <pivotField showAll="0"/>
    <pivotField dataField="1" showAll="0"/>
  </pivotFields>
  <rowFields count="1">
    <field x="1"/>
  </rowFields>
  <rowItems count="3">
    <i>
      <x/>
    </i>
    <i>
      <x v="1"/>
    </i>
    <i>
      <x v="2"/>
    </i>
  </rowItems>
  <colItems count="1">
    <i/>
  </colItems>
  <dataFields count="1">
    <dataField name="Average of sla_breach_days_pct" fld="5" subtotal="average" baseField="1" baseItem="0" numFmtId="2"/>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FFBD4-4B68-4F62-AED6-1DC1F5C4AE3B}" name="PivotTable37" cacheId="7"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rowHeaderCaption="Risk Band">
  <location ref="B178:E181" firstHeaderRow="0" firstDataRow="1" firstDataCol="1"/>
  <pivotFields count="7">
    <pivotField axis="axisRow" showAll="0">
      <items count="4">
        <item x="2"/>
        <item x="0"/>
        <item x="1"/>
        <item t="default"/>
      </items>
    </pivotField>
    <pivotField showAll="0">
      <items count="3">
        <item x="0"/>
        <item x="1"/>
        <item t="default"/>
      </items>
    </pivotField>
    <pivotField showAll="0"/>
    <pivotField showAll="0"/>
    <pivotField dataField="1" showAll="0"/>
    <pivotField dataField="1" showAll="0"/>
    <pivotField dataField="1" showAll="0"/>
  </pivotFields>
  <rowFields count="1">
    <field x="0"/>
  </rowFields>
  <rowItems count="3">
    <i>
      <x/>
    </i>
    <i>
      <x v="1"/>
    </i>
    <i>
      <x v="2"/>
    </i>
  </rowItems>
  <colFields count="1">
    <field x="-2"/>
  </colFields>
  <colItems count="3">
    <i>
      <x/>
    </i>
    <i i="1">
      <x v="1"/>
    </i>
    <i i="2">
      <x v="2"/>
    </i>
  </colItems>
  <dataFields count="3">
    <dataField name="% Refund Exposure By Risk Tier" fld="5" subtotal="max" baseField="0" baseItem="0"/>
    <dataField name="Avg Fraud Prob Score" fld="6" subtotal="max" baseField="0" baseItem="0"/>
    <dataField name=" Avg Refund Amount" fld="4" subtotal="max" baseField="0" baseItem="0"/>
  </dataFields>
  <formats count="2">
    <format dxfId="29">
      <pivotArea outline="0" collapsedLevelsAreSubtotals="1" fieldPosition="0"/>
    </format>
    <format dxfId="28">
      <pivotArea dataOnly="0" labelOnly="1" fieldPosition="0">
        <references count="1">
          <reference field="0" count="0"/>
        </references>
      </pivotArea>
    </format>
  </formats>
  <chartFormats count="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0AA7BD-FBE1-4953-8566-412510AF4529}" name="PivotTable24" cacheId="5"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29">
  <location ref="B127:D154" firstHeaderRow="1" firstDataRow="2" firstDataCol="1"/>
  <pivotFields count="11">
    <pivotField axis="axisRow" numFmtId="14" showAll="0">
      <items count="15">
        <item x="0"/>
        <item x="1"/>
        <item x="2"/>
        <item x="3"/>
        <item x="4"/>
        <item x="5"/>
        <item x="6"/>
        <item x="7"/>
        <item x="8"/>
        <item x="9"/>
        <item x="10"/>
        <item x="11"/>
        <item x="12"/>
        <item x="13"/>
        <item t="default"/>
      </items>
    </pivotField>
    <pivotField axis="axisCol" multipleItemSelectionAllowed="1" showAll="0">
      <items count="4">
        <item h="1" x="0"/>
        <item x="1"/>
        <item x="2"/>
        <item t="default"/>
      </items>
    </pivotField>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0"/>
    <field x="0"/>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t="grand">
      <x/>
    </i>
  </rowItems>
  <colFields count="1">
    <field x="1"/>
  </colFields>
  <colItems count="2">
    <i>
      <x v="1"/>
    </i>
    <i>
      <x v="2"/>
    </i>
  </colItems>
  <dataFields count="1">
    <dataField name="MOM Fraud Rate" fld="8" subtotal="max" baseField="10" baseItem="1"/>
  </dataFields>
  <chartFormats count="3">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2">
          <reference field="4294967294" count="1" selected="0">
            <x v="0"/>
          </reference>
          <reference field="1" count="1" selected="0">
            <x v="1"/>
          </reference>
        </references>
      </pivotArea>
    </chartFormat>
    <chartFormat chart="28" format="6"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887E8F-A2CE-418A-8F37-AF97A2CA9B8B}" name="PivotTable19"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B37:C40" firstHeaderRow="1" firstDataRow="1" firstDataCol="1"/>
  <pivotFields count="3">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0"/>
  </rowFields>
  <rowItems count="3">
    <i>
      <x v="2"/>
    </i>
    <i>
      <x/>
    </i>
    <i>
      <x v="1"/>
    </i>
  </rowItems>
  <colItems count="1">
    <i/>
  </colItems>
  <dataFields count="1">
    <dataField name="Average of sla_breach_pct" fld="2" subtotal="average"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3157A5-F3D5-4CF5-B9A4-CB03B1A8A75D}" name="PivotTable39" cacheId="9"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compact="0" compactData="0" multipleFieldFilters="0">
  <location ref="B84:F94" firstHeaderRow="0" firstDataRow="1" firstDataCol="2"/>
  <pivotFields count="7">
    <pivotField axis="axisRow" compact="0" outline="0" showAll="0" measureFilter="1" sortType="descending" defaultSubtotal="0">
      <items count="20">
        <item x="3"/>
        <item x="16"/>
        <item x="10"/>
        <item x="12"/>
        <item x="13"/>
        <item x="6"/>
        <item x="2"/>
        <item x="1"/>
        <item x="7"/>
        <item x="14"/>
        <item x="17"/>
        <item x="18"/>
        <item x="15"/>
        <item x="4"/>
        <item x="19"/>
        <item x="5"/>
        <item x="9"/>
        <item x="8"/>
        <item x="11"/>
        <item x="0"/>
      </items>
      <autoSortScope>
        <pivotArea dataOnly="0" outline="0" fieldPosition="0">
          <references count="1">
            <reference field="4294967294" count="1" selected="0">
              <x v="1"/>
            </reference>
          </references>
        </pivotArea>
      </autoSortScope>
    </pivotField>
    <pivotField axis="axisRow" compact="0" outline="0" showAll="0" defaultSubtotal="0">
      <items count="2">
        <item x="1"/>
        <item x="0"/>
      </items>
    </pivotField>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s>
  <rowFields count="2">
    <field x="0"/>
    <field x="1"/>
  </rowFields>
  <rowItems count="10">
    <i>
      <x/>
      <x v="1"/>
    </i>
    <i>
      <x v="7"/>
      <x v="1"/>
    </i>
    <i>
      <x v="19"/>
      <x v="1"/>
    </i>
    <i>
      <x v="6"/>
      <x v="1"/>
    </i>
    <i>
      <x v="8"/>
      <x/>
    </i>
    <i>
      <x v="17"/>
      <x/>
    </i>
    <i>
      <x v="13"/>
      <x v="1"/>
    </i>
    <i>
      <x v="16"/>
      <x/>
    </i>
    <i>
      <x v="15"/>
      <x v="1"/>
    </i>
    <i>
      <x v="5"/>
      <x v="1"/>
    </i>
  </rowItems>
  <colFields count="1">
    <field x="-2"/>
  </colFields>
  <colItems count="3">
    <i>
      <x/>
    </i>
    <i i="1">
      <x v="1"/>
    </i>
    <i i="2">
      <x v="2"/>
    </i>
  </colItems>
  <dataFields count="3">
    <dataField name="Fraud Rate" fld="2" subtotal="max" baseField="1" baseItem="1" numFmtId="2"/>
    <dataField name="Fraud Refund Share %" fld="5" subtotal="max" baseField="1" baseItem="1" numFmtId="2"/>
    <dataField name="Avg Fraud Probability Score" fld="6" subtotal="max" baseField="1" baseItem="1" numFmtId="2"/>
  </dataFields>
  <formats count="34">
    <format dxfId="63">
      <pivotArea outline="0" fieldPosition="0">
        <references count="1">
          <reference field="4294967294" count="1" selected="0">
            <x v="0"/>
          </reference>
        </references>
      </pivotArea>
    </format>
    <format dxfId="62">
      <pivotArea outline="0" fieldPosition="0">
        <references count="1">
          <reference field="4294967294" count="2" selected="0">
            <x v="1"/>
            <x v="2"/>
          </reference>
        </references>
      </pivotArea>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field="1" type="button" dataOnly="0" labelOnly="1" outline="0" axis="axisRow" fieldPosition="1"/>
    </format>
    <format dxfId="57">
      <pivotArea dataOnly="0" labelOnly="1" outline="0" fieldPosition="0">
        <references count="1">
          <reference field="0" count="10">
            <x v="0"/>
            <x v="5"/>
            <x v="6"/>
            <x v="7"/>
            <x v="8"/>
            <x v="13"/>
            <x v="15"/>
            <x v="16"/>
            <x v="17"/>
            <x v="19"/>
          </reference>
        </references>
      </pivotArea>
    </format>
    <format dxfId="56">
      <pivotArea dataOnly="0" labelOnly="1" outline="0" fieldPosition="0">
        <references count="2">
          <reference field="0" count="1" selected="0">
            <x v="0"/>
          </reference>
          <reference field="1" count="1">
            <x v="1"/>
          </reference>
        </references>
      </pivotArea>
    </format>
    <format dxfId="55">
      <pivotArea dataOnly="0" labelOnly="1" outline="0" fieldPosition="0">
        <references count="2">
          <reference field="0" count="1" selected="0">
            <x v="5"/>
          </reference>
          <reference field="1" count="1">
            <x v="1"/>
          </reference>
        </references>
      </pivotArea>
    </format>
    <format dxfId="54">
      <pivotArea dataOnly="0" labelOnly="1" outline="0" fieldPosition="0">
        <references count="2">
          <reference field="0" count="1" selected="0">
            <x v="6"/>
          </reference>
          <reference field="1" count="1">
            <x v="1"/>
          </reference>
        </references>
      </pivotArea>
    </format>
    <format dxfId="53">
      <pivotArea dataOnly="0" labelOnly="1" outline="0" fieldPosition="0">
        <references count="2">
          <reference field="0" count="1" selected="0">
            <x v="7"/>
          </reference>
          <reference field="1" count="1">
            <x v="1"/>
          </reference>
        </references>
      </pivotArea>
    </format>
    <format dxfId="52">
      <pivotArea dataOnly="0" labelOnly="1" outline="0" fieldPosition="0">
        <references count="2">
          <reference field="0" count="1" selected="0">
            <x v="8"/>
          </reference>
          <reference field="1" count="1">
            <x v="0"/>
          </reference>
        </references>
      </pivotArea>
    </format>
    <format dxfId="51">
      <pivotArea dataOnly="0" labelOnly="1" outline="0" fieldPosition="0">
        <references count="2">
          <reference field="0" count="1" selected="0">
            <x v="13"/>
          </reference>
          <reference field="1" count="1">
            <x v="1"/>
          </reference>
        </references>
      </pivotArea>
    </format>
    <format dxfId="50">
      <pivotArea dataOnly="0" labelOnly="1" outline="0" fieldPosition="0">
        <references count="2">
          <reference field="0" count="1" selected="0">
            <x v="15"/>
          </reference>
          <reference field="1" count="1">
            <x v="1"/>
          </reference>
        </references>
      </pivotArea>
    </format>
    <format dxfId="49">
      <pivotArea dataOnly="0" labelOnly="1" outline="0" fieldPosition="0">
        <references count="2">
          <reference field="0" count="1" selected="0">
            <x v="16"/>
          </reference>
          <reference field="1" count="1">
            <x v="0"/>
          </reference>
        </references>
      </pivotArea>
    </format>
    <format dxfId="48">
      <pivotArea dataOnly="0" labelOnly="1" outline="0" fieldPosition="0">
        <references count="2">
          <reference field="0" count="1" selected="0">
            <x v="17"/>
          </reference>
          <reference field="1" count="1">
            <x v="0"/>
          </reference>
        </references>
      </pivotArea>
    </format>
    <format dxfId="47">
      <pivotArea dataOnly="0" labelOnly="1" outline="0" fieldPosition="0">
        <references count="2">
          <reference field="0" count="1" selected="0">
            <x v="19"/>
          </reference>
          <reference field="1" count="1">
            <x v="1"/>
          </reference>
        </references>
      </pivotArea>
    </format>
    <format dxfId="46">
      <pivotArea dataOnly="0" labelOnly="1" outline="0" fieldPosition="0">
        <references count="1">
          <reference field="4294967294" count="3">
            <x v="0"/>
            <x v="1"/>
            <x v="2"/>
          </reference>
        </references>
      </pivotArea>
    </format>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field="1" type="button" dataOnly="0" labelOnly="1" outline="0" axis="axisRow" fieldPosition="1"/>
    </format>
    <format dxfId="41">
      <pivotArea dataOnly="0" labelOnly="1" outline="0" fieldPosition="0">
        <references count="1">
          <reference field="0" count="10">
            <x v="0"/>
            <x v="5"/>
            <x v="6"/>
            <x v="7"/>
            <x v="8"/>
            <x v="13"/>
            <x v="15"/>
            <x v="16"/>
            <x v="17"/>
            <x v="19"/>
          </reference>
        </references>
      </pivotArea>
    </format>
    <format dxfId="40">
      <pivotArea dataOnly="0" labelOnly="1" outline="0" fieldPosition="0">
        <references count="2">
          <reference field="0" count="1" selected="0">
            <x v="0"/>
          </reference>
          <reference field="1" count="1">
            <x v="1"/>
          </reference>
        </references>
      </pivotArea>
    </format>
    <format dxfId="39">
      <pivotArea dataOnly="0" labelOnly="1" outline="0" fieldPosition="0">
        <references count="2">
          <reference field="0" count="1" selected="0">
            <x v="5"/>
          </reference>
          <reference field="1" count="1">
            <x v="1"/>
          </reference>
        </references>
      </pivotArea>
    </format>
    <format dxfId="38">
      <pivotArea dataOnly="0" labelOnly="1" outline="0" fieldPosition="0">
        <references count="2">
          <reference field="0" count="1" selected="0">
            <x v="6"/>
          </reference>
          <reference field="1" count="1">
            <x v="1"/>
          </reference>
        </references>
      </pivotArea>
    </format>
    <format dxfId="37">
      <pivotArea dataOnly="0" labelOnly="1" outline="0" fieldPosition="0">
        <references count="2">
          <reference field="0" count="1" selected="0">
            <x v="7"/>
          </reference>
          <reference field="1" count="1">
            <x v="1"/>
          </reference>
        </references>
      </pivotArea>
    </format>
    <format dxfId="36">
      <pivotArea dataOnly="0" labelOnly="1" outline="0" fieldPosition="0">
        <references count="2">
          <reference field="0" count="1" selected="0">
            <x v="8"/>
          </reference>
          <reference field="1" count="1">
            <x v="0"/>
          </reference>
        </references>
      </pivotArea>
    </format>
    <format dxfId="35">
      <pivotArea dataOnly="0" labelOnly="1" outline="0" fieldPosition="0">
        <references count="2">
          <reference field="0" count="1" selected="0">
            <x v="13"/>
          </reference>
          <reference field="1" count="1">
            <x v="1"/>
          </reference>
        </references>
      </pivotArea>
    </format>
    <format dxfId="34">
      <pivotArea dataOnly="0" labelOnly="1" outline="0" fieldPosition="0">
        <references count="2">
          <reference field="0" count="1" selected="0">
            <x v="15"/>
          </reference>
          <reference field="1" count="1">
            <x v="1"/>
          </reference>
        </references>
      </pivotArea>
    </format>
    <format dxfId="33">
      <pivotArea dataOnly="0" labelOnly="1" outline="0" fieldPosition="0">
        <references count="2">
          <reference field="0" count="1" selected="0">
            <x v="16"/>
          </reference>
          <reference field="1" count="1">
            <x v="0"/>
          </reference>
        </references>
      </pivotArea>
    </format>
    <format dxfId="32">
      <pivotArea dataOnly="0" labelOnly="1" outline="0" fieldPosition="0">
        <references count="2">
          <reference field="0" count="1" selected="0">
            <x v="17"/>
          </reference>
          <reference field="1" count="1">
            <x v="0"/>
          </reference>
        </references>
      </pivotArea>
    </format>
    <format dxfId="31">
      <pivotArea dataOnly="0" labelOnly="1" outline="0" fieldPosition="0">
        <references count="2">
          <reference field="0" count="1" selected="0">
            <x v="19"/>
          </reference>
          <reference field="1" count="1">
            <x v="1"/>
          </reference>
        </references>
      </pivotArea>
    </format>
    <format dxfId="30">
      <pivotArea dataOnly="0" labelOnly="1" outline="0" fieldPosition="0">
        <references count="1">
          <reference field="4294967294" count="3">
            <x v="0"/>
            <x v="1"/>
            <x v="2"/>
          </reference>
        </references>
      </pivotArea>
    </format>
  </formats>
  <pivotTableStyleInfo name="PivotStyleMedium8"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323681C-0284-44F1-A6AF-5AE5121E4869}" name="PivotTable1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7:B10" firstHeaderRow="1" firstDataRow="1" firstDataCol="1"/>
  <pivotFields count="8">
    <pivotField axis="axisRow" showAll="0">
      <items count="4">
        <item x="2"/>
        <item x="1"/>
        <item x="0"/>
        <item t="default"/>
      </items>
    </pivotField>
    <pivotField showAll="0">
      <items count="8">
        <item x="3"/>
        <item x="1"/>
        <item x="6"/>
        <item x="0"/>
        <item x="4"/>
        <item x="2"/>
        <item x="5"/>
        <item t="default"/>
      </items>
    </pivotField>
    <pivotField dataField="1" showAll="0"/>
    <pivotField showAll="0">
      <items count="4">
        <item x="1"/>
        <item x="2"/>
        <item x="0"/>
        <item t="default"/>
      </items>
    </pivotField>
    <pivotField showAll="0"/>
    <pivotField showAll="0"/>
    <pivotField showAll="0"/>
    <pivotField showAll="0"/>
  </pivotFields>
  <rowFields count="1">
    <field x="0"/>
  </rowFields>
  <rowItems count="3">
    <i>
      <x/>
    </i>
    <i>
      <x v="1"/>
    </i>
    <i>
      <x v="2"/>
    </i>
  </rowItems>
  <colItems count="1">
    <i/>
  </colItems>
  <dataFields count="1">
    <dataField name="Average of fraud_rate" fld="2" subtotal="average" baseField="0" baseItem="1" numFmtId="164"/>
  </dataFields>
  <formats count="1">
    <format dxfId="64">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D20AA50-BE73-4711-8F85-979147D4F680}" name="PivotTable3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B166:C170" firstHeaderRow="1" firstDataRow="1" firstDataCol="1"/>
  <pivotFields count="7">
    <pivotField axis="axisRow" showAll="0">
      <items count="4">
        <item x="2"/>
        <item x="0"/>
        <item x="1"/>
        <item t="default"/>
      </items>
    </pivotField>
    <pivotField showAll="0"/>
    <pivotField showAll="0"/>
    <pivotField showAll="0"/>
    <pivotField showAll="0"/>
    <pivotField dataField="1" showAll="0"/>
    <pivotField showAll="0"/>
  </pivotFields>
  <rowFields count="1">
    <field x="0"/>
  </rowFields>
  <rowItems count="4">
    <i>
      <x/>
    </i>
    <i>
      <x v="1"/>
    </i>
    <i>
      <x v="2"/>
    </i>
    <i t="grand">
      <x/>
    </i>
  </rowItems>
  <colItems count="1">
    <i/>
  </colItems>
  <dataFields count="1">
    <dataField name="% Total refund exposure" fld="5" subtotal="max" baseField="0" baseItem="0"/>
  </dataFields>
  <chartFormats count="4">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0" count="1" selected="0">
            <x v="0"/>
          </reference>
        </references>
      </pivotArea>
    </chartFormat>
    <chartFormat chart="10" format="3">
      <pivotArea type="data" outline="0" fieldPosition="0">
        <references count="2">
          <reference field="4294967294" count="1" selected="0">
            <x v="0"/>
          </reference>
          <reference field="0" count="1" selected="0">
            <x v="1"/>
          </reference>
        </references>
      </pivotArea>
    </chartFormat>
    <chartFormat chart="10" format="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C98F6BF3-D9F9-4F06-B4FE-541D7E0E14B7}" autoFormatId="16" applyNumberFormats="0" applyBorderFormats="0" applyFontFormats="0" applyPatternFormats="0" applyAlignmentFormats="0" applyWidthHeightFormats="0">
  <queryTableRefresh nextId="8">
    <queryTableFields count="7">
      <queryTableField id="1" name="total_cases" tableColumnId="1"/>
      <queryTableField id="2" name="unique_sellers" tableColumnId="2"/>
      <queryTableField id="3" name="unique_buyers" tableColumnId="3"/>
      <queryTableField id="4" name="programs" tableColumnId="4"/>
      <queryTableField id="5" name="markets" tableColumnId="5"/>
      <queryTableField id="6" name="start_date" tableColumnId="6"/>
      <queryTableField id="7" name="end_dat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D84B4782-E800-4F6D-AB1F-177062077C2A}" autoFormatId="16" applyNumberFormats="0" applyBorderFormats="0" applyFontFormats="0" applyPatternFormats="0" applyAlignmentFormats="0" applyWidthHeightFormats="0">
  <queryTableRefresh nextId="7">
    <queryTableFields count="6">
      <queryTableField id="1" name="avg_nam_refund" tableColumnId="1"/>
      <queryTableField id="2" name="avg_eu_refund" tableColumnId="2"/>
      <queryTableField id="3" name="fraud_rate_pct" tableColumnId="3"/>
      <queryTableField id="4" name="avg_fraud_probability" tableColumnId="4"/>
      <queryTableField id="5" name="avg_handling_time" tableColumnId="5"/>
      <queryTableField id="6" name="avg_resolution_time_days"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3F00A53-F139-48F9-9BD4-3C38DA92ED19}" autoFormatId="16" applyNumberFormats="0" applyBorderFormats="0" applyFontFormats="0" applyPatternFormats="0" applyAlignmentFormats="0" applyWidthHeightFormats="0">
  <queryTableRefresh nextId="4">
    <queryTableFields count="3">
      <queryTableField id="1" name="program_type" tableColumnId="1"/>
      <queryTableField id="2" name="category" tableColumnId="2"/>
      <queryTableField id="3" name="fraud_rat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91B272FA-23F3-41B8-B5EA-39EA15CCCDB7}" autoFormatId="16" applyNumberFormats="0" applyBorderFormats="0" applyFontFormats="0" applyPatternFormats="0" applyAlignmentFormats="0" applyWidthHeightFormats="0">
  <queryTableRefresh nextId="9">
    <queryTableFields count="8">
      <queryTableField id="1" name="category" tableColumnId="1"/>
      <queryTableField id="2" name="program_type" tableColumnId="2"/>
      <queryTableField id="3" name="market" tableColumnId="3"/>
      <queryTableField id="4" name="total_fraud_count" tableColumnId="4"/>
      <queryTableField id="5" name="total_cases" tableColumnId="5"/>
      <queryTableField id="6" name="avg_refund" tableColumnId="6"/>
      <queryTableField id="7" name="fraud_rate" tableColumnId="7"/>
      <queryTableField id="8" name="fraud_impact_index"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3" xr16:uid="{BC85F31F-55EE-4983-9B5B-1798B003F962}" autoFormatId="16" applyNumberFormats="0" applyBorderFormats="0" applyFontFormats="0" applyPatternFormats="0" applyAlignmentFormats="0" applyWidthHeightFormats="0">
  <queryTableRefresh nextId="7">
    <queryTableFields count="6">
      <queryTableField id="1" name="market" tableColumnId="1"/>
      <queryTableField id="2" name="program_type" tableColumnId="2"/>
      <queryTableField id="3" name="avg_time" tableColumnId="3"/>
      <queryTableField id="4" name="avg_days" tableColumnId="4"/>
      <queryTableField id="5" name="sla_breach_pct_minutes" tableColumnId="5"/>
      <queryTableField id="6" name="sla_breach_days_pct"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9" xr16:uid="{0B6BA8AC-1F80-4DA1-A62F-FB4A9CECF0B1}" autoFormatId="16" applyNumberFormats="0" applyBorderFormats="0" applyFontFormats="0" applyPatternFormats="0" applyAlignmentFormats="0" applyWidthHeightFormats="0">
  <queryTableRefresh nextId="3">
    <queryTableFields count="2">
      <queryTableField id="1" name="program_type" tableColumnId="1"/>
      <queryTableField id="2" name="refund_amount"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0B313F96-ECC8-42C3-9886-86CC8F9E4681}" autoFormatId="16" applyNumberFormats="0" applyBorderFormats="0" applyFontFormats="0" applyPatternFormats="0" applyAlignmentFormats="0" applyWidthHeightFormats="0">
  <queryTableRefresh nextId="4">
    <queryTableFields count="3">
      <queryTableField id="1" name="program_type" tableColumnId="1"/>
      <queryTableField id="2" name="avg_time" tableColumnId="2"/>
      <queryTableField id="3" name="sla_breach_pct"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2" xr16:uid="{7E4F6127-E79C-4788-9B6A-BE1654E57401}" autoFormatId="16" applyNumberFormats="0" applyBorderFormats="0" applyFontFormats="0" applyPatternFormats="0" applyAlignmentFormats="0" applyWidthHeightFormats="0">
  <queryTableRefresh nextId="5">
    <queryTableFields count="4">
      <queryTableField id="1" name="program_type" tableColumnId="1"/>
      <queryTableField id="2" name="fraud_rate_pct" tableColumnId="2"/>
      <queryTableField id="3" name="avg_time" tableColumnId="3"/>
      <queryTableField id="4" name="fraud_avg_time"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14" xr16:uid="{CC5D10F5-BAD7-45CF-98CD-3F4704D35BC6}" autoFormatId="16" applyNumberFormats="0" applyBorderFormats="0" applyFontFormats="0" applyPatternFormats="0" applyAlignmentFormats="0" applyWidthHeightFormats="0">
  <queryTableRefresh nextId="10">
    <queryTableFields count="9">
      <queryTableField id="1" name="year_month" tableColumnId="1"/>
      <queryTableField id="2" name="program_type" tableColumnId="2"/>
      <queryTableField id="3" name="total_cases" tableColumnId="3"/>
      <queryTableField id="4" name="fraud_cases" tableColumnId="4"/>
      <queryTableField id="5" name="fraud_rate_pct" tableColumnId="5"/>
      <queryTableField id="6" name="total_refund" tableColumnId="6"/>
      <queryTableField id="7" name="fraud_refund" tableColumnId="7"/>
      <queryTableField id="8" name="fraud_rate_ma3" tableColumnId="8"/>
      <queryTableField id="9" name="fraud_rate_mom" tableColumnId="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4" connectionId="11" xr16:uid="{E09E7AD0-AC9F-40D2-A625-0D96C1573596}" autoFormatId="16" applyNumberFormats="0" applyBorderFormats="0" applyFontFormats="0" applyPatternFormats="0" applyAlignmentFormats="0" applyWidthHeightFormats="0">
  <queryTableRefresh nextId="8">
    <queryTableFields count="7">
      <queryTableField id="1" name="seller_id" tableColumnId="1"/>
      <queryTableField id="2" name="market" tableColumnId="2"/>
      <queryTableField id="3" name="FRAUD_RATE" tableColumnId="3"/>
      <queryTableField id="4" name="TOTAL_AMOUNT" tableColumnId="4"/>
      <queryTableField id="5" name="TOT_FRAUD_AMT" tableColumnId="5"/>
      <queryTableField id="6" name="fraud_refund_share_pct" tableColumnId="6"/>
      <queryTableField id="7" name="FRAUD_SCORE" tableColumnId="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10" xr16:uid="{5567F4B1-EFD1-48FD-8DF5-E875D860EE35}" autoFormatId="16" applyNumberFormats="0" applyBorderFormats="0" applyFontFormats="0" applyPatternFormats="0" applyAlignmentFormats="0" applyWidthHeightFormats="0">
  <queryTableRefresh nextId="8">
    <queryTableFields count="7">
      <queryTableField id="1" name="fraud_risk_band" tableColumnId="1"/>
      <queryTableField id="2" name="market" tableColumnId="2"/>
      <queryTableField id="3" name="Cases" tableColumnId="3"/>
      <queryTableField id="4" name="Total_refund" tableColumnId="4"/>
      <queryTableField id="5" name="Avg_refund_value" tableColumnId="5"/>
      <queryTableField id="6" name="%_total_refund_exposure" tableColumnId="6"/>
      <queryTableField id="7" name="Avg_frud_score" tableColumnId="7"/>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6" xr16:uid="{B80A6A29-3D5F-48C4-8370-A7240AC3E0B9}" autoFormatId="16" applyNumberFormats="0" applyBorderFormats="0" applyFontFormats="0" applyPatternFormats="0" applyAlignmentFormats="0" applyWidthHeightFormats="0">
  <queryTableRefresh nextId="10">
    <queryTableFields count="9">
      <queryTableField id="1" name="market" tableColumnId="1"/>
      <queryTableField id="2" name="category" tableColumnId="2"/>
      <queryTableField id="3" name="claim_type" tableColumnId="3"/>
      <queryTableField id="4" name="total_cases" tableColumnId="4"/>
      <queryTableField id="5" name="fraud_cases" tableColumnId="5"/>
      <queryTableField id="6" name="fraud_rate_pct" tableColumnId="6"/>
      <queryTableField id="7" name="avg_refund_amt" tableColumnId="7"/>
      <queryTableField id="8" name="total_fraud_refund" tableColumnId="8"/>
      <queryTableField id="9" name="fraud_refund_share_pct" tableColumnId="9"/>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3" xr16:uid="{9A051422-1955-4723-A019-917EF067A085}" autoFormatId="16" applyNumberFormats="0" applyBorderFormats="0" applyFontFormats="0" applyPatternFormats="0" applyAlignmentFormats="0" applyWidthHeightFormats="0">
  <queryTableRefresh nextId="5">
    <queryTableFields count="4">
      <queryTableField id="1" name="category" tableColumnId="1"/>
      <queryTableField id="2" name="program_type" tableColumnId="2"/>
      <queryTableField id="3" name="fraud_rate" tableColumnId="3"/>
      <queryTableField id="4" name="fraud_refund_share_pct"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connectionId="4" xr16:uid="{15D0EE13-240A-43CB-AB9C-9D1103822962}" autoFormatId="16" applyNumberFormats="0" applyBorderFormats="0" applyFontFormats="0" applyPatternFormats="0" applyAlignmentFormats="0" applyWidthHeightFormats="0">
  <queryTableRefresh nextId="9">
    <queryTableFields count="8">
      <queryTableField id="1" name="program_type" tableColumnId="1"/>
      <queryTableField id="2" name="category" tableColumnId="2"/>
      <queryTableField id="3" name="fraud_rate" tableColumnId="3"/>
      <queryTableField id="4" name="market" tableColumnId="4"/>
      <queryTableField id="5" name="total_fraud_count" tableColumnId="5"/>
      <queryTableField id="6" name="total_cases" tableColumnId="6"/>
      <queryTableField id="7" name="avg_refund" tableColumnId="7"/>
      <queryTableField id="8" name="fraud_impact_index"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AE98BFD-6362-4D83-806B-F63523DC33F1}" sourceName="category">
  <pivotTables>
    <pivotTable tabId="23" name="PivotTable13"/>
    <pivotTable tabId="23" name="PivotTable14"/>
  </pivotTables>
  <data>
    <tabular pivotCacheId="481798571">
      <items count="7">
        <i x="3" s="1"/>
        <i x="1" s="1"/>
        <i x="6" s="1"/>
        <i x="0"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type" xr10:uid="{31AEA60F-84C6-4502-A711-3183C0A13DA2}" sourceName="program_type">
  <pivotTables>
    <pivotTable tabId="23" name="PivotTable24"/>
  </pivotTables>
  <data>
    <tabular pivotCacheId="393927379">
      <items count="3">
        <i x="0"/>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19F18C0-3B4A-4D62-8B84-532102FE54C3}" cache="Slicer_category1" caption="category"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_type 2" xr10:uid="{A837F400-6388-4B18-8B8D-4E26220AB093}" cache="Slicer_program_type" caption="program_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763F52-623A-4172-97B8-4DDD457D34CC}" name="overview" displayName="overview" ref="A1:G2" tableType="queryTable" totalsRowShown="0">
  <autoFilter ref="A1:G2" xr:uid="{92763F52-623A-4172-97B8-4DDD457D34CC}"/>
  <tableColumns count="7">
    <tableColumn id="1" xr3:uid="{BA5B2D53-2107-4ACC-94C7-76FF642462CF}" uniqueName="1" name="total_cases" queryTableFieldId="1"/>
    <tableColumn id="2" xr3:uid="{6ECE4BD7-0D56-46FE-B907-67E5FF5F0ED3}" uniqueName="2" name="unique_sellers" queryTableFieldId="2"/>
    <tableColumn id="3" xr3:uid="{D47371A1-60BB-4F96-B5A3-778077F581B6}" uniqueName="3" name="unique_buyers" queryTableFieldId="3"/>
    <tableColumn id="4" xr3:uid="{C292583A-347B-494C-A76A-715247DFA1BF}" uniqueName="4" name="programs" queryTableFieldId="4"/>
    <tableColumn id="5" xr3:uid="{E74201E3-AC05-4DE5-B2C8-D85155A9B6BF}" uniqueName="5" name="markets" queryTableFieldId="5"/>
    <tableColumn id="6" xr3:uid="{9CC10660-66F4-4345-9460-FEAF385BE0CD}" uniqueName="6" name="start_date" queryTableFieldId="6" dataDxfId="86"/>
    <tableColumn id="7" xr3:uid="{DF6A1154-14FF-4805-A751-D5E86676417E}" uniqueName="7" name="end_date" queryTableFieldId="7" dataDxfId="8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BD9B6F-8027-4031-94F4-EE7511E9A967}" name="kpi_overview__2" displayName="kpi_overview__2" ref="A1:F2" tableType="queryTable" totalsRowShown="0">
  <autoFilter ref="A1:F2" xr:uid="{76BD9B6F-8027-4031-94F4-EE7511E9A967}"/>
  <tableColumns count="6">
    <tableColumn id="1" xr3:uid="{8269B7E5-2E6B-40EC-9BD1-450EF9880A57}" uniqueName="1" name="avg_nam_refund" queryTableFieldId="1"/>
    <tableColumn id="2" xr3:uid="{40F3F0F6-B355-45E9-AE2F-7B3D9DCDFDE8}" uniqueName="2" name="avg_eu_refund" queryTableFieldId="2"/>
    <tableColumn id="3" xr3:uid="{8E259293-AAE3-4AB2-BBAD-E98BAA722C70}" uniqueName="3" name="fraud_rate_pct" queryTableFieldId="3"/>
    <tableColumn id="4" xr3:uid="{B1025986-4955-4B33-86F4-5E0F2404553B}" uniqueName="4" name="avg_fraud_probability" queryTableFieldId="4"/>
    <tableColumn id="5" xr3:uid="{917BF2FF-76B4-4B4E-9BFC-055EA14912FB}" uniqueName="5" name="avg_handling_time" queryTableFieldId="5"/>
    <tableColumn id="6" xr3:uid="{EA74F2FA-EF42-4788-A1C3-F8D7064BF5EF}" uniqueName="6" name="avg_resolution_time_days"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B96621-5E84-417C-8D96-138D2784E02C}" name="category_fraud_rate_2" displayName="category_fraud_rate_2" ref="A1:C22" tableType="queryTable" totalsRowShown="0">
  <autoFilter ref="A1:C22" xr:uid="{70B96621-5E84-417C-8D96-138D2784E02C}"/>
  <tableColumns count="3">
    <tableColumn id="1" xr3:uid="{57381799-1AB5-454F-BC32-D640248D6CCB}" uniqueName="1" name="program_type" queryTableFieldId="1" dataDxfId="84"/>
    <tableColumn id="2" xr3:uid="{4049CF9F-609D-4BCB-ABB4-305E1BAF3267}" uniqueName="2" name="category" queryTableFieldId="2" dataDxfId="83"/>
    <tableColumn id="3" xr3:uid="{A1F0582A-0C6D-4505-AA0D-7EF09729980C}" uniqueName="3" name="fraud_rat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A2F874-ABF6-4AB2-A269-60E155D6D8BD}" name="category_fraud_impact" displayName="category_fraud_impact" ref="A1:H43" tableType="queryTable" totalsRowShown="0">
  <autoFilter ref="A1:H43" xr:uid="{E8A2F874-ABF6-4AB2-A269-60E155D6D8BD}"/>
  <tableColumns count="8">
    <tableColumn id="1" xr3:uid="{350D4F19-D0DD-44B8-8086-295AEC85FA8A}" uniqueName="1" name="category" queryTableFieldId="1" dataDxfId="82"/>
    <tableColumn id="2" xr3:uid="{F9162061-236E-476B-AB1C-D4598C355068}" uniqueName="2" name="program_type" queryTableFieldId="2" dataDxfId="81"/>
    <tableColumn id="3" xr3:uid="{CD24D3B2-B6AD-4A86-AEE8-1B819C35A2A1}" uniqueName="3" name="market" queryTableFieldId="3" dataDxfId="80"/>
    <tableColumn id="4" xr3:uid="{2F98C8FA-9A45-4DF3-A207-78520B80E451}" uniqueName="4" name="total_fraud_count" queryTableFieldId="4"/>
    <tableColumn id="5" xr3:uid="{754AA2E4-3193-41D4-B86A-1419BF00AB98}" uniqueName="5" name="total_cases" queryTableFieldId="5"/>
    <tableColumn id="6" xr3:uid="{80CE227E-9ACF-476E-8A44-FA0F40D5628E}" uniqueName="6" name="avg_refund" queryTableFieldId="6"/>
    <tableColumn id="7" xr3:uid="{44C3A464-C056-4742-874F-BEBAC6B833DF}" uniqueName="7" name="fraud_rate" queryTableFieldId="7"/>
    <tableColumn id="8" xr3:uid="{C399438F-5D43-4EAB-A7AD-F38E389E1CDE}" uniqueName="8" name="fraud_impact_index"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CFF411B-86E8-47D3-904C-6C1357123AB2}" name="sla_performance_summary" displayName="sla_performance_summary" ref="A1:F7" tableType="queryTable" totalsRowShown="0">
  <autoFilter ref="A1:F7" xr:uid="{4CFF411B-86E8-47D3-904C-6C1357123AB2}"/>
  <tableColumns count="6">
    <tableColumn id="1" xr3:uid="{9181DBE6-F100-45A9-B9B5-24233C0B94C7}" uniqueName="1" name="market" queryTableFieldId="1" dataDxfId="79"/>
    <tableColumn id="2" xr3:uid="{FEE4AE49-479F-4644-AF09-E9100DD1001D}" uniqueName="2" name="program_type" queryTableFieldId="2" dataDxfId="78"/>
    <tableColumn id="3" xr3:uid="{36E5541B-F389-40CC-B9BF-96BE35AB6DAB}" uniqueName="3" name="avg_time" queryTableFieldId="3"/>
    <tableColumn id="4" xr3:uid="{D0C844F2-7340-4FBF-955F-9F23DFC76344}" uniqueName="4" name="avg_days" queryTableFieldId="4"/>
    <tableColumn id="5" xr3:uid="{8508FEF1-D172-4EBC-AFF8-A3308947D5B7}" uniqueName="5" name="sla_breach_pct_minutes" queryTableFieldId="5"/>
    <tableColumn id="6" xr3:uid="{7DB9F7F3-EABE-4872-8F39-72522AE0056E}" uniqueName="6" name="sla_breach_days_pct"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D14F7D5-B70C-42B6-A96B-672C112AB5A1}" name="refund_time_correlation" displayName="refund_time_correlation" ref="A1:B4" tableType="queryTable" totalsRowShown="0">
  <autoFilter ref="A1:B4" xr:uid="{5D14F7D5-B70C-42B6-A96B-672C112AB5A1}"/>
  <tableColumns count="2">
    <tableColumn id="1" xr3:uid="{AFDD52C4-8648-454E-B5A2-B74F97BD4155}" uniqueName="1" name="program_type" queryTableFieldId="1" dataDxfId="77"/>
    <tableColumn id="2" xr3:uid="{0F1778B4-4F3E-4244-ACBD-5EEF9E28B8A3}" uniqueName="2" name="refund_amount"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F484BE8-CFF0-4F0A-A5A7-C0BCA4110F7A}" name="program_sla_summary" displayName="program_sla_summary" ref="A1:C4" tableType="queryTable" totalsRowShown="0">
  <autoFilter ref="A1:C4" xr:uid="{7F484BE8-CFF0-4F0A-A5A7-C0BCA4110F7A}"/>
  <tableColumns count="3">
    <tableColumn id="1" xr3:uid="{D2AD46BB-7229-4C97-9486-C163F06B3617}" uniqueName="1" name="program_type" queryTableFieldId="1" dataDxfId="76"/>
    <tableColumn id="2" xr3:uid="{AF0F27DA-88C0-4094-A50D-F31E03813412}" uniqueName="2" name="avg_time" queryTableFieldId="2"/>
    <tableColumn id="3" xr3:uid="{97003DF2-F510-444B-BDBD-6F19DDAB7E99}" uniqueName="3" name="sla_breach_pct" queryTableFieldId="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94A830-C80E-4623-9011-0CE4A97FF729}" name="sla_fraud_link" displayName="sla_fraud_link" ref="A1:D4" tableType="queryTable" totalsRowShown="0">
  <autoFilter ref="A1:D4" xr:uid="{5994A830-C80E-4623-9011-0CE4A97FF729}"/>
  <tableColumns count="4">
    <tableColumn id="1" xr3:uid="{16A05E44-2C73-4058-A6D3-934697364A2E}" uniqueName="1" name="program_type" queryTableFieldId="1" dataDxfId="75"/>
    <tableColumn id="2" xr3:uid="{223C2213-06B2-4AA9-BD75-43F1EF967E2B}" uniqueName="2" name="fraud_rate_pct" queryTableFieldId="2"/>
    <tableColumn id="3" xr3:uid="{1C215A35-ECF3-49DA-9F94-1669E49DEDDC}" uniqueName="3" name="avg_time" queryTableFieldId="3"/>
    <tableColumn id="4" xr3:uid="{E90ED1BC-CBC1-4F21-BB6A-6ECD52B10C64}" uniqueName="4" name="fraud_avg_time"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A756EDD-9769-477D-8899-ECC71150FA44}" name="trend" displayName="trend" ref="A1:I70" tableType="queryTable" totalsRowShown="0">
  <autoFilter ref="A1:I70" xr:uid="{2A756EDD-9769-477D-8899-ECC71150FA44}"/>
  <tableColumns count="9">
    <tableColumn id="1" xr3:uid="{EC97443C-7F8F-4997-93F9-84E50888B008}" uniqueName="1" name="year_month" queryTableFieldId="1" dataDxfId="74"/>
    <tableColumn id="2" xr3:uid="{7546EC35-1C6C-4CC0-A89B-C8234487D100}" uniqueName="2" name="program_type" queryTableFieldId="2" dataDxfId="73"/>
    <tableColumn id="3" xr3:uid="{C6248F59-5833-42B2-B430-5D4C8B3593F7}" uniqueName="3" name="total_cases" queryTableFieldId="3"/>
    <tableColumn id="4" xr3:uid="{5219706B-1357-46D5-BD51-2AD613D7366D}" uniqueName="4" name="fraud_cases" queryTableFieldId="4"/>
    <tableColumn id="5" xr3:uid="{E8667855-703C-4AA2-9F52-9E36FDAE85D3}" uniqueName="5" name="fraud_rate_pct" queryTableFieldId="5"/>
    <tableColumn id="6" xr3:uid="{67A35AB8-1A03-44B1-BDED-53E187ACC0BC}" uniqueName="6" name="total_refund" queryTableFieldId="6"/>
    <tableColumn id="7" xr3:uid="{44DEF545-736B-482B-BFBB-AC376060B0A9}" uniqueName="7" name="fraud_refund" queryTableFieldId="7"/>
    <tableColumn id="8" xr3:uid="{3A5BC862-0542-4783-AC64-00BEDDA8C3C5}" uniqueName="8" name="fraud_rate_ma3" queryTableFieldId="8"/>
    <tableColumn id="9" xr3:uid="{0838995C-462D-45B8-A7A3-1CEF729F7BFB}" uniqueName="9" name="fraud_rate_mom" queryTableFieldId="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6D9E4F7-0954-4BA4-924B-9722DE91507E}" name="seller_fraud_summary" displayName="seller_fraud_summary" ref="A1:G21" tableType="queryTable" totalsRowShown="0">
  <autoFilter ref="A1:G21" xr:uid="{D6D9E4F7-0954-4BA4-924B-9722DE91507E}"/>
  <tableColumns count="7">
    <tableColumn id="1" xr3:uid="{2A63B691-244C-48BD-ABC1-EBCB66851695}" uniqueName="1" name="seller_id" queryTableFieldId="1"/>
    <tableColumn id="2" xr3:uid="{CE30E214-A1CB-49E1-96D3-8150A83BFC74}" uniqueName="2" name="market" queryTableFieldId="2" dataDxfId="72"/>
    <tableColumn id="3" xr3:uid="{3BB0C81F-1884-475B-A4C6-F9F5B66F1E7D}" uniqueName="3" name="FRAUD_RATE" queryTableFieldId="3"/>
    <tableColumn id="4" xr3:uid="{433C4FA0-1EF3-4853-B1C5-60CEBCAB7F88}" uniqueName="4" name="TOTAL_AMOUNT" queryTableFieldId="4"/>
    <tableColumn id="5" xr3:uid="{04C4B2CB-5BBE-4072-9352-55411CFCD804}" uniqueName="5" name="TOT_FRAUD_AMT" queryTableFieldId="5"/>
    <tableColumn id="6" xr3:uid="{BDBD366A-B197-4B6D-BE17-196437D2E2B7}" uniqueName="6" name="fraud_refund_share_pct" queryTableFieldId="6"/>
    <tableColumn id="7" xr3:uid="{BC941990-FCF3-4160-88CA-9ABB2AD0F94C}" uniqueName="7" name="FRAUD_SCORE" queryTableField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F53290F-79B7-4203-9C7F-40F3814C2E81}" name="riskbands_category_hotspots" displayName="riskbands_category_hotspots" ref="A1:G7" tableType="queryTable" totalsRowShown="0">
  <autoFilter ref="A1:G7" xr:uid="{6F53290F-79B7-4203-9C7F-40F3814C2E81}"/>
  <tableColumns count="7">
    <tableColumn id="1" xr3:uid="{DAAF1F9D-0FEB-4BAB-A85A-A564A2EC1B59}" uniqueName="1" name="fraud_risk_band" queryTableFieldId="1" dataDxfId="71"/>
    <tableColumn id="2" xr3:uid="{52445728-8F55-4EFE-A7A8-63F0A5A949C3}" uniqueName="2" name="market" queryTableFieldId="2" dataDxfId="70"/>
    <tableColumn id="3" xr3:uid="{1A985D1B-9609-4103-AC88-1D13DF8E6870}" uniqueName="3" name="Cases" queryTableFieldId="3"/>
    <tableColumn id="4" xr3:uid="{0B4CE39B-5BF3-416D-981B-48D95AB68382}" uniqueName="4" name="Total_refund" queryTableFieldId="4"/>
    <tableColumn id="5" xr3:uid="{A5300D68-A05E-40F7-8B1F-4BE6DCC66AC7}" uniqueName="5" name="Avg_refund_value" queryTableFieldId="5"/>
    <tableColumn id="6" xr3:uid="{D1F83D61-6296-48D6-AD8C-EA1A1656502C}" uniqueName="6" name="%_total_refund_exposure" queryTableFieldId="6"/>
    <tableColumn id="7" xr3:uid="{2731CC5E-A95A-453D-9DE9-7A9D79FF190A}" uniqueName="7" name="Avg_frud_score" queryTableFieldId="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A27AC7D-AE93-4930-8F53-2DF6C0439406}" name="market_category_hots" displayName="market_category_hots" ref="A1:I99" tableType="queryTable" totalsRowShown="0">
  <autoFilter ref="A1:I99" xr:uid="{FA27AC7D-AE93-4930-8F53-2DF6C0439406}"/>
  <tableColumns count="9">
    <tableColumn id="1" xr3:uid="{86C0BA8B-1918-436E-84F5-CA2AF55A040F}" uniqueName="1" name="market" queryTableFieldId="1" dataDxfId="69"/>
    <tableColumn id="2" xr3:uid="{C958D142-B2D7-48AD-840D-F835F60E7778}" uniqueName="2" name="category" queryTableFieldId="2" dataDxfId="68"/>
    <tableColumn id="3" xr3:uid="{27621175-C938-4913-99F7-1A1635E57983}" uniqueName="3" name="claim_type" queryTableFieldId="3" dataDxfId="67"/>
    <tableColumn id="4" xr3:uid="{271FF526-3C89-4D09-8F12-C06E4DF80C9F}" uniqueName="4" name="total_cases" queryTableFieldId="4"/>
    <tableColumn id="5" xr3:uid="{06607466-A2F2-4A76-928D-A39BB160546C}" uniqueName="5" name="fraud_cases" queryTableFieldId="5"/>
    <tableColumn id="6" xr3:uid="{62F0AF85-9167-461A-8336-3BEDA17EE6B4}" uniqueName="6" name="fraud_rate_pct" queryTableFieldId="6"/>
    <tableColumn id="7" xr3:uid="{7C05FE13-490F-48B3-9C74-631A36AFFEE9}" uniqueName="7" name="avg_refund_amt" queryTableFieldId="7"/>
    <tableColumn id="8" xr3:uid="{1EBCD037-9A67-4A6E-A7FC-F97FFAF4F0F9}" uniqueName="8" name="total_fraud_refund" queryTableFieldId="8"/>
    <tableColumn id="9" xr3:uid="{E8CFBC54-CEFF-4382-A600-338D3524348B}" uniqueName="9" name="fraud_refund_share_pct" queryTableFieldId="9"/>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3A086B7-09E8-4D61-B4C5-EB82E75D51E6}" name="df_category_fraud_summary" displayName="df_category_fraud_summary" ref="A1:D22" tableType="queryTable" totalsRowShown="0">
  <autoFilter ref="A1:D22" xr:uid="{43A086B7-09E8-4D61-B4C5-EB82E75D51E6}"/>
  <tableColumns count="4">
    <tableColumn id="1" xr3:uid="{B52AE29E-E8F8-437C-B7E6-15ACEDD92024}" uniqueName="1" name="category" queryTableFieldId="1" dataDxfId="66"/>
    <tableColumn id="2" xr3:uid="{A397B81D-B103-45BB-8EB3-ADE8F3BF7607}" uniqueName="2" name="program_type" queryTableFieldId="2" dataDxfId="65"/>
    <tableColumn id="3" xr3:uid="{0AADA153-F8E6-4AC2-8F88-D3B25EFE6FBE}" uniqueName="3" name="fraud_rate" queryTableFieldId="3"/>
    <tableColumn id="4" xr3:uid="{BD222682-7FC9-47F7-A0B1-F470627FD11C}" uniqueName="4" name="fraud_refund_share_pct" queryTableFieldId="4"/>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0EDDE1-0E28-4E95-819F-53FB81FF2D60}" name="fII_fraud_rate_append" displayName="fII_fraud_rate_append" ref="A1:H64" tableType="queryTable" totalsRowShown="0">
  <autoFilter ref="A1:H64" xr:uid="{E20EDDE1-0E28-4E95-819F-53FB81FF2D60}"/>
  <tableColumns count="8">
    <tableColumn id="1" xr3:uid="{85FDD386-46F9-4A27-88B7-DD81405ED534}" uniqueName="1" name="program_type" queryTableFieldId="1" dataDxfId="2"/>
    <tableColumn id="2" xr3:uid="{2760E78E-4951-4C51-A8A7-2395A48FB6A9}" uniqueName="2" name="category" queryTableFieldId="2" dataDxfId="1"/>
    <tableColumn id="3" xr3:uid="{583EC4D0-3BF2-44A5-82F5-70F349A7918E}" uniqueName="3" name="fraud_rate" queryTableFieldId="3"/>
    <tableColumn id="4" xr3:uid="{5F5935A3-91C2-43EA-B295-435299C81E9B}" uniqueName="4" name="market" queryTableFieldId="4" dataDxfId="0"/>
    <tableColumn id="5" xr3:uid="{4FE26BF2-E623-44A6-B11E-2DAD8DBAF77B}" uniqueName="5" name="total_fraud_count" queryTableFieldId="5"/>
    <tableColumn id="6" xr3:uid="{46B1A1A3-8228-4FBE-B930-3EEA6B33C308}" uniqueName="6" name="total_cases" queryTableFieldId="6"/>
    <tableColumn id="7" xr3:uid="{C874FE7E-4759-4934-BE73-748BA641DEA3}" uniqueName="7" name="avg_refund" queryTableFieldId="7"/>
    <tableColumn id="8" xr3:uid="{B441E0D1-A09A-4BA5-B715-B0A4C2DACA3D}" uniqueName="8" name="fraud_impact_index"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2.xml"/><Relationship Id="rId2" Type="http://schemas.openxmlformats.org/officeDocument/2006/relationships/pivotTable" Target="../pivotTables/pivotTable2.xml"/><Relationship Id="rId16" Type="http://schemas.openxmlformats.org/officeDocument/2006/relationships/drawing" Target="../drawings/drawing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8FF2-D787-4536-B293-762BB3D527F0}">
  <dimension ref="A1:G2"/>
  <sheetViews>
    <sheetView workbookViewId="0">
      <selection activeCell="C39" sqref="C39"/>
    </sheetView>
  </sheetViews>
  <sheetFormatPr defaultRowHeight="15" x14ac:dyDescent="0.25"/>
  <cols>
    <col min="1" max="1" width="13.140625" bestFit="1" customWidth="1"/>
    <col min="2" max="2" width="16.5703125" bestFit="1" customWidth="1"/>
    <col min="3" max="3" width="16.7109375" bestFit="1" customWidth="1"/>
    <col min="4" max="4" width="11.5703125" bestFit="1" customWidth="1"/>
    <col min="5" max="5" width="10.42578125" bestFit="1" customWidth="1"/>
    <col min="6" max="6" width="12.28515625" bestFit="1" customWidth="1"/>
    <col min="7" max="7" width="11.7109375" bestFit="1" customWidth="1"/>
  </cols>
  <sheetData>
    <row r="1" spans="1:7" x14ac:dyDescent="0.25">
      <c r="A1" t="s">
        <v>0</v>
      </c>
      <c r="B1" t="s">
        <v>1</v>
      </c>
      <c r="C1" t="s">
        <v>2</v>
      </c>
      <c r="D1" t="s">
        <v>3</v>
      </c>
      <c r="E1" t="s">
        <v>4</v>
      </c>
      <c r="F1" t="s">
        <v>5</v>
      </c>
      <c r="G1" t="s">
        <v>6</v>
      </c>
    </row>
    <row r="2" spans="1:7" x14ac:dyDescent="0.25">
      <c r="A2">
        <v>11000</v>
      </c>
      <c r="B2">
        <v>1000</v>
      </c>
      <c r="C2">
        <v>4411</v>
      </c>
      <c r="D2">
        <v>3</v>
      </c>
      <c r="E2">
        <v>2</v>
      </c>
      <c r="F2" s="1">
        <v>44929</v>
      </c>
      <c r="G2" s="1">
        <v>45605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6B29-6DA8-4B85-9C88-67F4DD910DBD}">
  <dimension ref="A1:F2"/>
  <sheetViews>
    <sheetView workbookViewId="0">
      <selection activeCell="D1" sqref="D1:D2"/>
    </sheetView>
  </sheetViews>
  <sheetFormatPr defaultRowHeight="15" x14ac:dyDescent="0.25"/>
  <cols>
    <col min="1" max="1" width="18.28515625" bestFit="1" customWidth="1"/>
    <col min="2" max="2" width="16.7109375" bestFit="1" customWidth="1"/>
    <col min="3" max="3" width="16.42578125" bestFit="1" customWidth="1"/>
    <col min="4" max="4" width="23" bestFit="1" customWidth="1"/>
    <col min="5" max="5" width="20.42578125" bestFit="1" customWidth="1"/>
    <col min="6" max="6" width="27" bestFit="1" customWidth="1"/>
  </cols>
  <sheetData>
    <row r="1" spans="1:6" x14ac:dyDescent="0.25">
      <c r="A1" t="s">
        <v>40</v>
      </c>
      <c r="B1" t="s">
        <v>41</v>
      </c>
      <c r="C1" t="s">
        <v>8</v>
      </c>
      <c r="D1" t="s">
        <v>9</v>
      </c>
      <c r="E1" t="s">
        <v>10</v>
      </c>
      <c r="F1" t="s">
        <v>11</v>
      </c>
    </row>
    <row r="2" spans="1:6" x14ac:dyDescent="0.25">
      <c r="A2">
        <v>40.24</v>
      </c>
      <c r="B2">
        <v>25.31</v>
      </c>
      <c r="C2">
        <v>28.71</v>
      </c>
      <c r="D2">
        <v>0.39200000000000002</v>
      </c>
      <c r="E2">
        <v>6.5</v>
      </c>
      <c r="F2">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1D55B-5B12-4B8B-9A45-2C4CB5765F90}">
  <dimension ref="A1:C22"/>
  <sheetViews>
    <sheetView workbookViewId="0">
      <selection activeCell="A24" sqref="A24:O24"/>
    </sheetView>
  </sheetViews>
  <sheetFormatPr defaultRowHeight="15" x14ac:dyDescent="0.25"/>
  <cols>
    <col min="1" max="1" width="15.85546875" bestFit="1" customWidth="1"/>
    <col min="2" max="2" width="15.42578125" bestFit="1" customWidth="1"/>
    <col min="3" max="3" width="12.5703125" bestFit="1" customWidth="1"/>
  </cols>
  <sheetData>
    <row r="1" spans="1:3" x14ac:dyDescent="0.25">
      <c r="A1" t="s">
        <v>12</v>
      </c>
      <c r="B1" t="s">
        <v>13</v>
      </c>
      <c r="C1" t="s">
        <v>14</v>
      </c>
    </row>
    <row r="2" spans="1:3" x14ac:dyDescent="0.25">
      <c r="A2" t="s">
        <v>15</v>
      </c>
      <c r="B2" t="s">
        <v>16</v>
      </c>
      <c r="C2">
        <v>43.91</v>
      </c>
    </row>
    <row r="3" spans="1:3" x14ac:dyDescent="0.25">
      <c r="A3" t="s">
        <v>15</v>
      </c>
      <c r="B3" t="s">
        <v>17</v>
      </c>
      <c r="C3">
        <v>36.85</v>
      </c>
    </row>
    <row r="4" spans="1:3" x14ac:dyDescent="0.25">
      <c r="A4" t="s">
        <v>15</v>
      </c>
      <c r="B4" t="s">
        <v>18</v>
      </c>
      <c r="C4">
        <v>31.89</v>
      </c>
    </row>
    <row r="5" spans="1:3" x14ac:dyDescent="0.25">
      <c r="A5" t="s">
        <v>15</v>
      </c>
      <c r="B5" t="s">
        <v>25</v>
      </c>
      <c r="C5">
        <v>24.1</v>
      </c>
    </row>
    <row r="6" spans="1:3" x14ac:dyDescent="0.25">
      <c r="A6" t="s">
        <v>15</v>
      </c>
      <c r="B6" t="s">
        <v>24</v>
      </c>
      <c r="C6">
        <v>23.86</v>
      </c>
    </row>
    <row r="7" spans="1:3" x14ac:dyDescent="0.25">
      <c r="A7" t="s">
        <v>15</v>
      </c>
      <c r="B7" t="s">
        <v>26</v>
      </c>
      <c r="C7">
        <v>21.69</v>
      </c>
    </row>
    <row r="8" spans="1:3" x14ac:dyDescent="0.25">
      <c r="A8" t="s">
        <v>15</v>
      </c>
      <c r="B8" t="s">
        <v>23</v>
      </c>
      <c r="C8">
        <v>21.65</v>
      </c>
    </row>
    <row r="9" spans="1:3" x14ac:dyDescent="0.25">
      <c r="A9" t="s">
        <v>19</v>
      </c>
      <c r="B9" t="s">
        <v>16</v>
      </c>
      <c r="C9">
        <v>41.37</v>
      </c>
    </row>
    <row r="10" spans="1:3" x14ac:dyDescent="0.25">
      <c r="A10" t="s">
        <v>19</v>
      </c>
      <c r="B10" t="s">
        <v>17</v>
      </c>
      <c r="C10">
        <v>37.450000000000003</v>
      </c>
    </row>
    <row r="11" spans="1:3" x14ac:dyDescent="0.25">
      <c r="A11" t="s">
        <v>19</v>
      </c>
      <c r="B11" t="s">
        <v>18</v>
      </c>
      <c r="C11">
        <v>33.49</v>
      </c>
    </row>
    <row r="12" spans="1:3" x14ac:dyDescent="0.25">
      <c r="A12" t="s">
        <v>19</v>
      </c>
      <c r="B12" t="s">
        <v>23</v>
      </c>
      <c r="C12">
        <v>24.42</v>
      </c>
    </row>
    <row r="13" spans="1:3" x14ac:dyDescent="0.25">
      <c r="A13" t="s">
        <v>19</v>
      </c>
      <c r="B13" t="s">
        <v>24</v>
      </c>
      <c r="C13">
        <v>23.65</v>
      </c>
    </row>
    <row r="14" spans="1:3" x14ac:dyDescent="0.25">
      <c r="A14" t="s">
        <v>19</v>
      </c>
      <c r="B14" t="s">
        <v>25</v>
      </c>
      <c r="C14">
        <v>22.31</v>
      </c>
    </row>
    <row r="15" spans="1:3" x14ac:dyDescent="0.25">
      <c r="A15" t="s">
        <v>19</v>
      </c>
      <c r="B15" t="s">
        <v>26</v>
      </c>
      <c r="C15">
        <v>19.07</v>
      </c>
    </row>
    <row r="16" spans="1:3" x14ac:dyDescent="0.25">
      <c r="A16" t="s">
        <v>20</v>
      </c>
      <c r="B16" t="s">
        <v>16</v>
      </c>
      <c r="C16">
        <v>32.22</v>
      </c>
    </row>
    <row r="17" spans="1:3" x14ac:dyDescent="0.25">
      <c r="A17" t="s">
        <v>20</v>
      </c>
      <c r="B17" t="s">
        <v>18</v>
      </c>
      <c r="C17">
        <v>28.91</v>
      </c>
    </row>
    <row r="18" spans="1:3" x14ac:dyDescent="0.25">
      <c r="A18" t="s">
        <v>20</v>
      </c>
      <c r="B18" t="s">
        <v>17</v>
      </c>
      <c r="C18">
        <v>25.81</v>
      </c>
    </row>
    <row r="19" spans="1:3" x14ac:dyDescent="0.25">
      <c r="A19" t="s">
        <v>20</v>
      </c>
      <c r="B19" t="s">
        <v>23</v>
      </c>
      <c r="C19">
        <v>16.46</v>
      </c>
    </row>
    <row r="20" spans="1:3" x14ac:dyDescent="0.25">
      <c r="A20" t="s">
        <v>20</v>
      </c>
      <c r="B20" t="s">
        <v>24</v>
      </c>
      <c r="C20">
        <v>14.78</v>
      </c>
    </row>
    <row r="21" spans="1:3" x14ac:dyDescent="0.25">
      <c r="A21" t="s">
        <v>20</v>
      </c>
      <c r="B21" t="s">
        <v>25</v>
      </c>
      <c r="C21">
        <v>14.07</v>
      </c>
    </row>
    <row r="22" spans="1:3" x14ac:dyDescent="0.25">
      <c r="A22" t="s">
        <v>20</v>
      </c>
      <c r="B22" t="s">
        <v>26</v>
      </c>
      <c r="C22">
        <v>12.81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33A89-1A5F-496A-B36E-CCAACAA949E5}">
  <dimension ref="A1:L43"/>
  <sheetViews>
    <sheetView topLeftCell="A7" workbookViewId="0">
      <selection activeCell="A24" sqref="A24:O24"/>
    </sheetView>
  </sheetViews>
  <sheetFormatPr defaultRowHeight="15" x14ac:dyDescent="0.25"/>
  <cols>
    <col min="1" max="1" width="15.42578125" bestFit="1" customWidth="1"/>
    <col min="2" max="2" width="15.85546875" customWidth="1"/>
    <col min="3" max="3" width="9.5703125" customWidth="1"/>
    <col min="4" max="4" width="19.28515625" customWidth="1"/>
    <col min="5" max="5" width="13.140625" customWidth="1"/>
    <col min="6" max="6" width="13.28515625" customWidth="1"/>
    <col min="7" max="7" width="12.5703125" customWidth="1"/>
    <col min="8" max="8" width="21.28515625" bestFit="1" customWidth="1"/>
    <col min="12" max="12" width="25.85546875" bestFit="1" customWidth="1"/>
    <col min="13" max="13" width="16.28515625" bestFit="1" customWidth="1"/>
    <col min="14" max="15" width="7" bestFit="1" customWidth="1"/>
    <col min="16" max="16" width="8.28515625" bestFit="1" customWidth="1"/>
    <col min="17" max="17" width="7.42578125" bestFit="1" customWidth="1"/>
    <col min="18" max="18" width="6" bestFit="1" customWidth="1"/>
    <col min="19" max="19" width="7" bestFit="1" customWidth="1"/>
    <col min="20" max="20" width="10.42578125" bestFit="1" customWidth="1"/>
  </cols>
  <sheetData>
    <row r="1" spans="1:8" x14ac:dyDescent="0.25">
      <c r="A1" t="s">
        <v>13</v>
      </c>
      <c r="B1" t="s">
        <v>12</v>
      </c>
      <c r="C1" t="s">
        <v>34</v>
      </c>
      <c r="D1" t="s">
        <v>21</v>
      </c>
      <c r="E1" t="s">
        <v>0</v>
      </c>
      <c r="F1" t="s">
        <v>7</v>
      </c>
      <c r="G1" t="s">
        <v>14</v>
      </c>
      <c r="H1" t="s">
        <v>22</v>
      </c>
    </row>
    <row r="2" spans="1:8" x14ac:dyDescent="0.25">
      <c r="A2" t="s">
        <v>16</v>
      </c>
      <c r="B2" t="s">
        <v>20</v>
      </c>
      <c r="C2" t="s">
        <v>38</v>
      </c>
      <c r="D2">
        <v>79</v>
      </c>
      <c r="E2">
        <v>246</v>
      </c>
      <c r="F2">
        <v>70.790000000000006</v>
      </c>
      <c r="G2">
        <v>32.11</v>
      </c>
      <c r="H2">
        <v>22.73</v>
      </c>
    </row>
    <row r="3" spans="1:8" x14ac:dyDescent="0.25">
      <c r="A3" t="s">
        <v>23</v>
      </c>
      <c r="B3" t="s">
        <v>20</v>
      </c>
      <c r="C3" t="s">
        <v>38</v>
      </c>
      <c r="D3">
        <v>19</v>
      </c>
      <c r="E3">
        <v>98</v>
      </c>
      <c r="F3">
        <v>80.819999999999993</v>
      </c>
      <c r="G3">
        <v>19.39</v>
      </c>
      <c r="H3">
        <v>15.67</v>
      </c>
    </row>
    <row r="4" spans="1:8" x14ac:dyDescent="0.25">
      <c r="A4" t="s">
        <v>18</v>
      </c>
      <c r="B4" t="s">
        <v>20</v>
      </c>
      <c r="C4" t="s">
        <v>38</v>
      </c>
      <c r="D4">
        <v>16</v>
      </c>
      <c r="E4">
        <v>46</v>
      </c>
      <c r="F4">
        <v>35.299999999999997</v>
      </c>
      <c r="G4">
        <v>34.78</v>
      </c>
      <c r="H4">
        <v>12.28</v>
      </c>
    </row>
    <row r="5" spans="1:8" x14ac:dyDescent="0.25">
      <c r="A5" t="s">
        <v>25</v>
      </c>
      <c r="B5" t="s">
        <v>20</v>
      </c>
      <c r="C5" t="s">
        <v>38</v>
      </c>
      <c r="D5">
        <v>28</v>
      </c>
      <c r="E5">
        <v>180</v>
      </c>
      <c r="F5">
        <v>58.72</v>
      </c>
      <c r="G5">
        <v>15.56</v>
      </c>
      <c r="H5">
        <v>9.1300000000000008</v>
      </c>
    </row>
    <row r="6" spans="1:8" x14ac:dyDescent="0.25">
      <c r="A6" t="s">
        <v>24</v>
      </c>
      <c r="B6" t="s">
        <v>20</v>
      </c>
      <c r="C6" t="s">
        <v>38</v>
      </c>
      <c r="D6">
        <v>15</v>
      </c>
      <c r="E6">
        <v>117</v>
      </c>
      <c r="F6">
        <v>67.22</v>
      </c>
      <c r="G6">
        <v>12.82</v>
      </c>
      <c r="H6">
        <v>8.6199999999999992</v>
      </c>
    </row>
    <row r="7" spans="1:8" x14ac:dyDescent="0.25">
      <c r="A7" t="s">
        <v>17</v>
      </c>
      <c r="B7" t="s">
        <v>20</v>
      </c>
      <c r="C7" t="s">
        <v>38</v>
      </c>
      <c r="D7">
        <v>29</v>
      </c>
      <c r="E7">
        <v>125</v>
      </c>
      <c r="F7">
        <v>35.64</v>
      </c>
      <c r="G7">
        <v>23.2</v>
      </c>
      <c r="H7">
        <v>8.27</v>
      </c>
    </row>
    <row r="8" spans="1:8" x14ac:dyDescent="0.25">
      <c r="A8" t="s">
        <v>26</v>
      </c>
      <c r="B8" t="s">
        <v>20</v>
      </c>
      <c r="C8" t="s">
        <v>38</v>
      </c>
      <c r="D8">
        <v>8</v>
      </c>
      <c r="E8">
        <v>77</v>
      </c>
      <c r="F8">
        <v>52.63</v>
      </c>
      <c r="G8">
        <v>10.39</v>
      </c>
      <c r="H8">
        <v>5.47</v>
      </c>
    </row>
    <row r="9" spans="1:8" x14ac:dyDescent="0.25">
      <c r="A9" t="s">
        <v>16</v>
      </c>
      <c r="B9" t="s">
        <v>20</v>
      </c>
      <c r="C9" t="s">
        <v>39</v>
      </c>
      <c r="D9">
        <v>114</v>
      </c>
      <c r="E9">
        <v>353</v>
      </c>
      <c r="F9">
        <v>63.74</v>
      </c>
      <c r="G9">
        <v>32.29</v>
      </c>
      <c r="H9">
        <v>20.58</v>
      </c>
    </row>
    <row r="10" spans="1:8" x14ac:dyDescent="0.25">
      <c r="A10" t="s">
        <v>24</v>
      </c>
      <c r="B10" t="s">
        <v>20</v>
      </c>
      <c r="C10" t="s">
        <v>39</v>
      </c>
      <c r="D10">
        <v>32</v>
      </c>
      <c r="E10">
        <v>201</v>
      </c>
      <c r="F10">
        <v>76.400000000000006</v>
      </c>
      <c r="G10">
        <v>15.92</v>
      </c>
      <c r="H10">
        <v>12.16</v>
      </c>
    </row>
    <row r="11" spans="1:8" x14ac:dyDescent="0.25">
      <c r="A11" t="s">
        <v>25</v>
      </c>
      <c r="B11" t="s">
        <v>20</v>
      </c>
      <c r="C11" t="s">
        <v>39</v>
      </c>
      <c r="D11">
        <v>36</v>
      </c>
      <c r="E11">
        <v>275</v>
      </c>
      <c r="F11">
        <v>80.790000000000006</v>
      </c>
      <c r="G11">
        <v>13.09</v>
      </c>
      <c r="H11">
        <v>10.58</v>
      </c>
    </row>
    <row r="12" spans="1:8" x14ac:dyDescent="0.25">
      <c r="A12" t="s">
        <v>23</v>
      </c>
      <c r="B12" t="s">
        <v>20</v>
      </c>
      <c r="C12" t="s">
        <v>39</v>
      </c>
      <c r="D12">
        <v>20</v>
      </c>
      <c r="E12">
        <v>139</v>
      </c>
      <c r="F12">
        <v>60.11</v>
      </c>
      <c r="G12">
        <v>14.39</v>
      </c>
      <c r="H12">
        <v>8.65</v>
      </c>
    </row>
    <row r="13" spans="1:8" x14ac:dyDescent="0.25">
      <c r="A13" t="s">
        <v>18</v>
      </c>
      <c r="B13" t="s">
        <v>20</v>
      </c>
      <c r="C13" t="s">
        <v>39</v>
      </c>
      <c r="D13">
        <v>21</v>
      </c>
      <c r="E13">
        <v>82</v>
      </c>
      <c r="F13">
        <v>32.81</v>
      </c>
      <c r="G13">
        <v>25.61</v>
      </c>
      <c r="H13">
        <v>8.4</v>
      </c>
    </row>
    <row r="14" spans="1:8" x14ac:dyDescent="0.25">
      <c r="A14" t="s">
        <v>26</v>
      </c>
      <c r="B14" t="s">
        <v>20</v>
      </c>
      <c r="C14" t="s">
        <v>39</v>
      </c>
      <c r="D14">
        <v>18</v>
      </c>
      <c r="E14">
        <v>126</v>
      </c>
      <c r="F14">
        <v>52.45</v>
      </c>
      <c r="G14">
        <v>14.29</v>
      </c>
      <c r="H14">
        <v>7.49</v>
      </c>
    </row>
    <row r="15" spans="1:8" x14ac:dyDescent="0.25">
      <c r="A15" t="s">
        <v>17</v>
      </c>
      <c r="B15" t="s">
        <v>20</v>
      </c>
      <c r="C15" t="s">
        <v>39</v>
      </c>
      <c r="D15">
        <v>51</v>
      </c>
      <c r="E15">
        <v>185</v>
      </c>
      <c r="F15">
        <v>20.61</v>
      </c>
      <c r="G15">
        <v>27.57</v>
      </c>
      <c r="H15">
        <v>5.68</v>
      </c>
    </row>
    <row r="16" spans="1:8" x14ac:dyDescent="0.25">
      <c r="A16" t="s">
        <v>16</v>
      </c>
      <c r="B16" t="s">
        <v>19</v>
      </c>
      <c r="C16" t="s">
        <v>38</v>
      </c>
      <c r="D16">
        <v>153</v>
      </c>
      <c r="E16">
        <v>357</v>
      </c>
      <c r="F16">
        <v>74.95</v>
      </c>
      <c r="G16">
        <v>42.86</v>
      </c>
      <c r="H16">
        <v>32.119999999999997</v>
      </c>
    </row>
    <row r="17" spans="1:12" x14ac:dyDescent="0.25">
      <c r="A17" t="s">
        <v>24</v>
      </c>
      <c r="B17" t="s">
        <v>19</v>
      </c>
      <c r="C17" t="s">
        <v>38</v>
      </c>
      <c r="D17">
        <v>58</v>
      </c>
      <c r="E17">
        <v>221</v>
      </c>
      <c r="F17">
        <v>95.44</v>
      </c>
      <c r="G17">
        <v>26.24</v>
      </c>
      <c r="H17">
        <v>25.05</v>
      </c>
    </row>
    <row r="18" spans="1:12" x14ac:dyDescent="0.25">
      <c r="A18" t="s">
        <v>26</v>
      </c>
      <c r="B18" t="s">
        <v>19</v>
      </c>
      <c r="C18" t="s">
        <v>38</v>
      </c>
      <c r="D18">
        <v>38</v>
      </c>
      <c r="E18">
        <v>149</v>
      </c>
      <c r="F18">
        <v>75.180000000000007</v>
      </c>
      <c r="G18">
        <v>25.5</v>
      </c>
      <c r="H18">
        <v>19.170000000000002</v>
      </c>
    </row>
    <row r="19" spans="1:12" x14ac:dyDescent="0.25">
      <c r="A19" t="s">
        <v>23</v>
      </c>
      <c r="B19" t="s">
        <v>19</v>
      </c>
      <c r="C19" t="s">
        <v>38</v>
      </c>
      <c r="D19">
        <v>30</v>
      </c>
      <c r="E19">
        <v>150</v>
      </c>
      <c r="F19">
        <v>83.95</v>
      </c>
      <c r="G19">
        <v>20</v>
      </c>
      <c r="H19">
        <v>16.79</v>
      </c>
    </row>
    <row r="20" spans="1:12" x14ac:dyDescent="0.25">
      <c r="A20" t="s">
        <v>25</v>
      </c>
      <c r="B20" t="s">
        <v>19</v>
      </c>
      <c r="C20" t="s">
        <v>38</v>
      </c>
      <c r="D20">
        <v>57</v>
      </c>
      <c r="E20">
        <v>270</v>
      </c>
      <c r="F20">
        <v>67.62</v>
      </c>
      <c r="G20">
        <v>21.11</v>
      </c>
      <c r="H20">
        <v>14.28</v>
      </c>
    </row>
    <row r="21" spans="1:12" x14ac:dyDescent="0.25">
      <c r="A21" t="s">
        <v>17</v>
      </c>
      <c r="B21" t="s">
        <v>19</v>
      </c>
      <c r="C21" t="s">
        <v>38</v>
      </c>
      <c r="D21">
        <v>90</v>
      </c>
      <c r="E21">
        <v>212</v>
      </c>
      <c r="F21">
        <v>23.89</v>
      </c>
      <c r="G21">
        <v>42.45</v>
      </c>
      <c r="H21">
        <v>10.14</v>
      </c>
    </row>
    <row r="22" spans="1:12" x14ac:dyDescent="0.25">
      <c r="A22" t="s">
        <v>18</v>
      </c>
      <c r="B22" t="s">
        <v>19</v>
      </c>
      <c r="C22" t="s">
        <v>38</v>
      </c>
      <c r="D22">
        <v>24</v>
      </c>
      <c r="E22">
        <v>79</v>
      </c>
      <c r="F22">
        <v>28.91</v>
      </c>
      <c r="G22">
        <v>30.38</v>
      </c>
      <c r="H22">
        <v>8.7799999999999994</v>
      </c>
    </row>
    <row r="23" spans="1:12" x14ac:dyDescent="0.25">
      <c r="A23" t="s">
        <v>16</v>
      </c>
      <c r="B23" t="s">
        <v>19</v>
      </c>
      <c r="C23" t="s">
        <v>39</v>
      </c>
      <c r="D23">
        <v>240</v>
      </c>
      <c r="E23">
        <v>593</v>
      </c>
      <c r="F23">
        <v>81.41</v>
      </c>
      <c r="G23">
        <v>40.47</v>
      </c>
      <c r="H23">
        <v>32.950000000000003</v>
      </c>
    </row>
    <row r="24" spans="1:12" x14ac:dyDescent="0.25">
      <c r="A24" t="s">
        <v>23</v>
      </c>
      <c r="B24" t="s">
        <v>19</v>
      </c>
      <c r="C24" t="s">
        <v>39</v>
      </c>
      <c r="D24">
        <v>65</v>
      </c>
      <c r="E24">
        <v>239</v>
      </c>
      <c r="F24">
        <v>87.96</v>
      </c>
      <c r="G24">
        <v>27.2</v>
      </c>
      <c r="H24">
        <v>23.92</v>
      </c>
    </row>
    <row r="25" spans="1:12" x14ac:dyDescent="0.25">
      <c r="A25" t="s">
        <v>25</v>
      </c>
      <c r="B25" t="s">
        <v>19</v>
      </c>
      <c r="C25" t="s">
        <v>39</v>
      </c>
      <c r="D25">
        <v>115</v>
      </c>
      <c r="E25">
        <v>501</v>
      </c>
      <c r="F25">
        <v>71.58</v>
      </c>
      <c r="G25">
        <v>22.95</v>
      </c>
      <c r="H25">
        <v>16.43</v>
      </c>
    </row>
    <row r="26" spans="1:12" x14ac:dyDescent="0.25">
      <c r="A26" t="s">
        <v>24</v>
      </c>
      <c r="B26" t="s">
        <v>19</v>
      </c>
      <c r="C26" t="s">
        <v>39</v>
      </c>
      <c r="D26">
        <v>78</v>
      </c>
      <c r="E26">
        <v>354</v>
      </c>
      <c r="F26">
        <v>72.23</v>
      </c>
      <c r="G26">
        <v>22.03</v>
      </c>
      <c r="H26">
        <v>15.91</v>
      </c>
    </row>
    <row r="27" spans="1:12" x14ac:dyDescent="0.25">
      <c r="A27" t="s">
        <v>18</v>
      </c>
      <c r="B27" t="s">
        <v>19</v>
      </c>
      <c r="C27" t="s">
        <v>39</v>
      </c>
      <c r="D27">
        <v>48</v>
      </c>
      <c r="E27">
        <v>136</v>
      </c>
      <c r="F27">
        <v>31.43</v>
      </c>
      <c r="G27">
        <v>35.29</v>
      </c>
      <c r="H27">
        <v>11.09</v>
      </c>
    </row>
    <row r="28" spans="1:12" x14ac:dyDescent="0.25">
      <c r="A28" t="s">
        <v>26</v>
      </c>
      <c r="B28" t="s">
        <v>19</v>
      </c>
      <c r="C28" t="s">
        <v>39</v>
      </c>
      <c r="D28">
        <v>32</v>
      </c>
      <c r="E28">
        <v>218</v>
      </c>
      <c r="F28">
        <v>63.44</v>
      </c>
      <c r="G28">
        <v>14.68</v>
      </c>
      <c r="H28">
        <v>9.31</v>
      </c>
    </row>
    <row r="29" spans="1:12" x14ac:dyDescent="0.25">
      <c r="A29" t="s">
        <v>17</v>
      </c>
      <c r="B29" t="s">
        <v>19</v>
      </c>
      <c r="C29" t="s">
        <v>39</v>
      </c>
      <c r="D29">
        <v>107</v>
      </c>
      <c r="E29">
        <v>314</v>
      </c>
      <c r="F29">
        <v>18.28</v>
      </c>
      <c r="G29">
        <v>34.08</v>
      </c>
      <c r="H29">
        <v>6.23</v>
      </c>
      <c r="L29" s="12"/>
    </row>
    <row r="30" spans="1:12" x14ac:dyDescent="0.25">
      <c r="A30" t="s">
        <v>16</v>
      </c>
      <c r="B30" t="s">
        <v>15</v>
      </c>
      <c r="C30" t="s">
        <v>38</v>
      </c>
      <c r="D30">
        <v>199</v>
      </c>
      <c r="E30">
        <v>490</v>
      </c>
      <c r="F30">
        <v>90.92</v>
      </c>
      <c r="G30">
        <v>40.61</v>
      </c>
      <c r="H30">
        <v>36.93</v>
      </c>
      <c r="L30" s="12"/>
    </row>
    <row r="31" spans="1:12" x14ac:dyDescent="0.25">
      <c r="A31" t="s">
        <v>25</v>
      </c>
      <c r="B31" t="s">
        <v>15</v>
      </c>
      <c r="C31" t="s">
        <v>38</v>
      </c>
      <c r="D31">
        <v>95</v>
      </c>
      <c r="E31">
        <v>402</v>
      </c>
      <c r="F31">
        <v>69.98</v>
      </c>
      <c r="G31">
        <v>23.63</v>
      </c>
      <c r="H31">
        <v>16.54</v>
      </c>
      <c r="L31" s="12"/>
    </row>
    <row r="32" spans="1:12" x14ac:dyDescent="0.25">
      <c r="A32" t="s">
        <v>23</v>
      </c>
      <c r="B32" t="s">
        <v>15</v>
      </c>
      <c r="C32" t="s">
        <v>38</v>
      </c>
      <c r="D32">
        <v>45</v>
      </c>
      <c r="E32">
        <v>210</v>
      </c>
      <c r="F32">
        <v>70.81</v>
      </c>
      <c r="G32">
        <v>21.43</v>
      </c>
      <c r="H32">
        <v>15.17</v>
      </c>
    </row>
    <row r="33" spans="1:8" x14ac:dyDescent="0.25">
      <c r="A33" t="s">
        <v>24</v>
      </c>
      <c r="B33" t="s">
        <v>15</v>
      </c>
      <c r="C33" t="s">
        <v>38</v>
      </c>
      <c r="D33">
        <v>56</v>
      </c>
      <c r="E33">
        <v>283</v>
      </c>
      <c r="F33">
        <v>66.760000000000005</v>
      </c>
      <c r="G33">
        <v>19.79</v>
      </c>
      <c r="H33">
        <v>13.21</v>
      </c>
    </row>
    <row r="34" spans="1:8" x14ac:dyDescent="0.25">
      <c r="A34" t="s">
        <v>26</v>
      </c>
      <c r="B34" t="s">
        <v>15</v>
      </c>
      <c r="C34" t="s">
        <v>38</v>
      </c>
      <c r="D34">
        <v>36</v>
      </c>
      <c r="E34">
        <v>179</v>
      </c>
      <c r="F34">
        <v>61.59</v>
      </c>
      <c r="G34">
        <v>20.11</v>
      </c>
      <c r="H34">
        <v>12.39</v>
      </c>
    </row>
    <row r="35" spans="1:8" x14ac:dyDescent="0.25">
      <c r="A35" t="s">
        <v>17</v>
      </c>
      <c r="B35" t="s">
        <v>15</v>
      </c>
      <c r="C35" t="s">
        <v>38</v>
      </c>
      <c r="D35">
        <v>99</v>
      </c>
      <c r="E35">
        <v>276</v>
      </c>
      <c r="F35">
        <v>28.07</v>
      </c>
      <c r="G35">
        <v>35.869999999999997</v>
      </c>
      <c r="H35">
        <v>10.07</v>
      </c>
    </row>
    <row r="36" spans="1:8" x14ac:dyDescent="0.25">
      <c r="A36" t="s">
        <v>18</v>
      </c>
      <c r="B36" t="s">
        <v>15</v>
      </c>
      <c r="C36" t="s">
        <v>38</v>
      </c>
      <c r="D36">
        <v>36</v>
      </c>
      <c r="E36">
        <v>114</v>
      </c>
      <c r="F36">
        <v>17.64</v>
      </c>
      <c r="G36">
        <v>31.58</v>
      </c>
      <c r="H36">
        <v>5.57</v>
      </c>
    </row>
    <row r="37" spans="1:8" x14ac:dyDescent="0.25">
      <c r="A37" t="s">
        <v>16</v>
      </c>
      <c r="B37" t="s">
        <v>15</v>
      </c>
      <c r="C37" t="s">
        <v>39</v>
      </c>
      <c r="D37">
        <v>363</v>
      </c>
      <c r="E37">
        <v>790</v>
      </c>
      <c r="F37">
        <v>90.78</v>
      </c>
      <c r="G37">
        <v>45.95</v>
      </c>
      <c r="H37">
        <v>41.71</v>
      </c>
    </row>
    <row r="38" spans="1:8" x14ac:dyDescent="0.25">
      <c r="A38" t="s">
        <v>24</v>
      </c>
      <c r="B38" t="s">
        <v>15</v>
      </c>
      <c r="C38" t="s">
        <v>39</v>
      </c>
      <c r="D38">
        <v>111</v>
      </c>
      <c r="E38">
        <v>417</v>
      </c>
      <c r="F38">
        <v>76.180000000000007</v>
      </c>
      <c r="G38">
        <v>26.62</v>
      </c>
      <c r="H38">
        <v>20.28</v>
      </c>
    </row>
    <row r="39" spans="1:8" x14ac:dyDescent="0.25">
      <c r="A39" t="s">
        <v>23</v>
      </c>
      <c r="B39" t="s">
        <v>15</v>
      </c>
      <c r="C39" t="s">
        <v>39</v>
      </c>
      <c r="D39">
        <v>65</v>
      </c>
      <c r="E39">
        <v>298</v>
      </c>
      <c r="F39">
        <v>79.8</v>
      </c>
      <c r="G39">
        <v>21.81</v>
      </c>
      <c r="H39">
        <v>17.41</v>
      </c>
    </row>
    <row r="40" spans="1:8" x14ac:dyDescent="0.25">
      <c r="A40" t="s">
        <v>25</v>
      </c>
      <c r="B40" t="s">
        <v>15</v>
      </c>
      <c r="C40" t="s">
        <v>39</v>
      </c>
      <c r="D40">
        <v>145</v>
      </c>
      <c r="E40">
        <v>594</v>
      </c>
      <c r="F40">
        <v>66.680000000000007</v>
      </c>
      <c r="G40">
        <v>24.41</v>
      </c>
      <c r="H40">
        <v>16.28</v>
      </c>
    </row>
    <row r="41" spans="1:8" x14ac:dyDescent="0.25">
      <c r="A41" t="s">
        <v>17</v>
      </c>
      <c r="B41" t="s">
        <v>15</v>
      </c>
      <c r="C41" t="s">
        <v>39</v>
      </c>
      <c r="D41">
        <v>163</v>
      </c>
      <c r="E41">
        <v>435</v>
      </c>
      <c r="F41">
        <v>36.700000000000003</v>
      </c>
      <c r="G41">
        <v>37.47</v>
      </c>
      <c r="H41">
        <v>13.75</v>
      </c>
    </row>
    <row r="42" spans="1:8" x14ac:dyDescent="0.25">
      <c r="A42" t="s">
        <v>26</v>
      </c>
      <c r="B42" t="s">
        <v>15</v>
      </c>
      <c r="C42" t="s">
        <v>39</v>
      </c>
      <c r="D42">
        <v>64</v>
      </c>
      <c r="E42">
        <v>282</v>
      </c>
      <c r="F42">
        <v>60.16</v>
      </c>
      <c r="G42">
        <v>22.7</v>
      </c>
      <c r="H42">
        <v>13.65</v>
      </c>
    </row>
    <row r="43" spans="1:8" x14ac:dyDescent="0.25">
      <c r="A43" t="s">
        <v>18</v>
      </c>
      <c r="B43" t="s">
        <v>15</v>
      </c>
      <c r="C43" t="s">
        <v>39</v>
      </c>
      <c r="D43">
        <v>60</v>
      </c>
      <c r="E43">
        <v>187</v>
      </c>
      <c r="F43">
        <v>35.729999999999997</v>
      </c>
      <c r="G43">
        <v>32.090000000000003</v>
      </c>
      <c r="H43">
        <v>11.46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68E0-9854-4251-A8AA-D3AED5AE9CBB}">
  <sheetPr>
    <tabColor theme="4" tint="-0.499984740745262"/>
  </sheetPr>
  <dimension ref="A1:O43"/>
  <sheetViews>
    <sheetView zoomScale="92" zoomScaleNormal="92" workbookViewId="0">
      <pane ySplit="11" topLeftCell="A12" activePane="bottomLeft" state="frozen"/>
      <selection pane="bottomLeft" activeCell="O43" sqref="O43"/>
    </sheetView>
  </sheetViews>
  <sheetFormatPr defaultColWidth="0" defaultRowHeight="15" zeroHeight="1" x14ac:dyDescent="0.25"/>
  <cols>
    <col min="1" max="1" width="20.5703125" bestFit="1" customWidth="1"/>
    <col min="2" max="9" width="18.7109375" customWidth="1"/>
    <col min="10" max="12" width="5.7109375" customWidth="1"/>
    <col min="13" max="13" width="1.85546875" customWidth="1"/>
    <col min="14" max="14" width="4.28515625" hidden="1" customWidth="1"/>
    <col min="15" max="15" width="1.7109375" style="37" customWidth="1"/>
    <col min="16" max="16384" width="9.140625" hidden="1"/>
  </cols>
  <sheetData>
    <row r="1" spans="1:14" ht="26.25" x14ac:dyDescent="0.25">
      <c r="A1" s="52" t="s">
        <v>129</v>
      </c>
      <c r="B1" s="52"/>
      <c r="C1" s="52"/>
      <c r="D1" s="52"/>
      <c r="E1" s="52"/>
      <c r="F1" s="52"/>
      <c r="G1" s="52"/>
      <c r="H1" s="52"/>
      <c r="I1" s="52"/>
      <c r="J1" s="52"/>
      <c r="K1" s="52"/>
      <c r="L1" s="52"/>
      <c r="M1" s="52"/>
    </row>
    <row r="2" spans="1:14" ht="3.75" customHeight="1" x14ac:dyDescent="0.25">
      <c r="A2" s="40"/>
      <c r="B2" s="40"/>
      <c r="C2" s="40"/>
      <c r="D2" s="40"/>
      <c r="E2" s="40"/>
      <c r="F2" s="19"/>
      <c r="G2" s="19"/>
      <c r="H2" s="19"/>
      <c r="I2" s="19"/>
      <c r="J2" s="19"/>
      <c r="K2" s="19"/>
      <c r="L2" s="53"/>
      <c r="M2" s="53"/>
    </row>
    <row r="3" spans="1:14" ht="18.75" customHeight="1" x14ac:dyDescent="0.25">
      <c r="A3" s="54" t="s">
        <v>27</v>
      </c>
      <c r="B3" s="54"/>
      <c r="C3" s="54"/>
      <c r="D3" s="54"/>
      <c r="E3" s="54"/>
      <c r="F3" s="54"/>
      <c r="G3" s="54"/>
      <c r="H3" s="54"/>
      <c r="I3" s="54"/>
      <c r="J3" s="54"/>
      <c r="K3" s="54"/>
      <c r="L3" s="54"/>
      <c r="M3" s="54"/>
    </row>
    <row r="4" spans="1:14" ht="6" customHeight="1" x14ac:dyDescent="0.25">
      <c r="A4" s="51"/>
      <c r="B4" s="51"/>
      <c r="C4" s="51"/>
      <c r="D4" s="51"/>
      <c r="E4" s="51"/>
      <c r="F4" s="51"/>
      <c r="G4" s="51"/>
      <c r="H4" s="51"/>
      <c r="I4" s="51"/>
      <c r="J4" s="25"/>
      <c r="K4" s="25"/>
      <c r="L4" s="25"/>
      <c r="M4" s="25"/>
      <c r="N4" s="15" t="s">
        <v>49</v>
      </c>
    </row>
    <row r="5" spans="1:14" x14ac:dyDescent="0.25">
      <c r="A5" s="51"/>
      <c r="B5" s="51"/>
      <c r="C5" s="51"/>
      <c r="D5" s="51"/>
      <c r="E5" s="51"/>
      <c r="F5" s="51"/>
      <c r="G5" s="51"/>
      <c r="H5" s="51"/>
      <c r="I5" s="51"/>
      <c r="J5" s="25"/>
      <c r="K5" s="25"/>
      <c r="L5" s="25"/>
      <c r="M5" s="25"/>
      <c r="N5" s="15" cm="1">
        <f t="array" ref="N5">overview[total_cases]</f>
        <v>11000</v>
      </c>
    </row>
    <row r="6" spans="1:14" x14ac:dyDescent="0.25">
      <c r="A6" s="45"/>
      <c r="B6" s="45"/>
      <c r="C6" s="45"/>
      <c r="D6" s="45"/>
      <c r="E6" s="45"/>
      <c r="F6" s="45"/>
      <c r="G6" s="45"/>
      <c r="H6" s="45"/>
      <c r="I6" s="45"/>
      <c r="J6" s="25"/>
      <c r="K6" s="25"/>
      <c r="L6" s="25"/>
      <c r="M6" s="25"/>
      <c r="N6" s="15"/>
    </row>
    <row r="7" spans="1:14" x14ac:dyDescent="0.25">
      <c r="A7" s="45"/>
      <c r="B7" s="45"/>
      <c r="C7" s="45"/>
      <c r="D7" s="45"/>
      <c r="E7" s="45"/>
      <c r="F7" s="45"/>
      <c r="G7" s="45"/>
      <c r="H7" s="45"/>
      <c r="I7" s="45"/>
      <c r="J7" s="25"/>
      <c r="K7" s="25"/>
      <c r="L7" s="25"/>
      <c r="M7" s="25"/>
      <c r="N7" s="15"/>
    </row>
    <row r="8" spans="1:14" x14ac:dyDescent="0.25">
      <c r="A8" s="25"/>
      <c r="B8" s="25"/>
      <c r="C8" s="25"/>
      <c r="D8" s="25"/>
      <c r="E8" s="25"/>
      <c r="F8" s="25"/>
      <c r="G8" s="25"/>
      <c r="H8" s="25"/>
      <c r="I8" s="25"/>
      <c r="J8" s="25"/>
      <c r="K8" s="25"/>
      <c r="L8" s="25"/>
      <c r="M8" s="25"/>
      <c r="N8" s="15" cm="1">
        <f t="array" ref="N8">kpi_overview__2[fraud_rate_pct]</f>
        <v>28.71</v>
      </c>
    </row>
    <row r="9" spans="1:14" x14ac:dyDescent="0.25">
      <c r="A9" s="25"/>
      <c r="B9" s="25"/>
      <c r="C9" s="25"/>
      <c r="D9" s="25"/>
      <c r="E9" s="25"/>
      <c r="F9" s="25"/>
      <c r="G9" s="25"/>
      <c r="H9" s="25"/>
      <c r="I9" s="25"/>
      <c r="J9" s="25"/>
      <c r="K9" s="25"/>
      <c r="L9" s="25"/>
      <c r="M9" s="25"/>
      <c r="N9" s="15" cm="1">
        <f t="array" ref="N9">kpi_overview__2[avg_nam_refund]</f>
        <v>40.24</v>
      </c>
    </row>
    <row r="10" spans="1:14" ht="21" x14ac:dyDescent="0.25">
      <c r="A10" s="46"/>
      <c r="B10" s="25"/>
      <c r="C10" s="25"/>
      <c r="D10" s="25"/>
      <c r="E10" s="25"/>
      <c r="F10" s="25"/>
      <c r="G10" s="25"/>
      <c r="H10" s="25"/>
      <c r="I10" s="25"/>
      <c r="J10" s="25"/>
      <c r="K10" s="25"/>
      <c r="L10" s="25"/>
      <c r="M10" s="25"/>
      <c r="N10" s="15" cm="1">
        <f t="array" ref="N10">kpi_overview__2[avg_eu_refund]</f>
        <v>25.31</v>
      </c>
    </row>
    <row r="11" spans="1:14" x14ac:dyDescent="0.25">
      <c r="A11" s="25"/>
      <c r="B11" s="25"/>
      <c r="C11" s="25"/>
      <c r="D11" s="25"/>
      <c r="E11" s="25"/>
      <c r="F11" s="25"/>
      <c r="G11" s="25"/>
      <c r="H11" s="25"/>
      <c r="I11" s="25"/>
      <c r="J11" s="25"/>
      <c r="K11" s="25"/>
      <c r="L11" s="25"/>
      <c r="M11" s="25"/>
      <c r="N11" s="15" cm="1">
        <f t="array" ref="N11">kpi_overview__2[avg_handling_time]</f>
        <v>6.5</v>
      </c>
    </row>
    <row r="12" spans="1:14" ht="6" customHeight="1" x14ac:dyDescent="0.25">
      <c r="A12" s="34"/>
      <c r="B12" s="34"/>
      <c r="C12" s="34"/>
      <c r="D12" s="34"/>
      <c r="E12" s="34"/>
      <c r="F12" s="34"/>
      <c r="G12" s="34"/>
      <c r="H12" s="34"/>
      <c r="I12" s="34"/>
      <c r="J12" s="34"/>
      <c r="K12" s="34"/>
      <c r="L12" s="34"/>
      <c r="M12" s="34"/>
      <c r="N12" s="15" cm="1">
        <f t="array" ref="N12">kpi_overview__2[avg_resolution_time_days]</f>
        <v>4.2</v>
      </c>
    </row>
    <row r="13" spans="1:14" x14ac:dyDescent="0.25">
      <c r="A13" s="5"/>
      <c r="B13" s="43"/>
      <c r="C13" s="43"/>
      <c r="D13" s="43"/>
      <c r="E13" s="43"/>
      <c r="F13" s="43"/>
      <c r="G13" s="43"/>
      <c r="H13" s="43"/>
      <c r="I13" s="43"/>
      <c r="J13" s="5"/>
      <c r="K13" s="5"/>
      <c r="L13" s="5"/>
      <c r="M13" s="5"/>
      <c r="N13" s="15"/>
    </row>
    <row r="14" spans="1:14" x14ac:dyDescent="0.25">
      <c r="A14" s="5"/>
      <c r="B14" s="50" t="s">
        <v>28</v>
      </c>
      <c r="C14" s="50"/>
      <c r="D14" s="50"/>
      <c r="E14" s="50"/>
      <c r="F14" s="50"/>
      <c r="G14" s="50"/>
      <c r="H14" s="50"/>
      <c r="I14" s="50"/>
      <c r="J14" s="5"/>
      <c r="K14" s="5"/>
      <c r="L14" s="5"/>
      <c r="M14" s="5"/>
      <c r="N14" s="15"/>
    </row>
    <row r="15" spans="1:14" x14ac:dyDescent="0.25">
      <c r="A15" s="5"/>
      <c r="B15" s="47" t="s">
        <v>29</v>
      </c>
      <c r="C15" s="47" t="s">
        <v>25</v>
      </c>
      <c r="D15" s="47" t="s">
        <v>17</v>
      </c>
      <c r="E15" s="47" t="s">
        <v>23</v>
      </c>
      <c r="F15" s="47" t="s">
        <v>16</v>
      </c>
      <c r="G15" s="47" t="s">
        <v>24</v>
      </c>
      <c r="H15" s="47" t="s">
        <v>18</v>
      </c>
      <c r="I15" s="47" t="s">
        <v>26</v>
      </c>
      <c r="J15" s="5"/>
      <c r="K15" s="5"/>
      <c r="L15" s="5"/>
      <c r="M15" s="5"/>
      <c r="N15" s="15"/>
    </row>
    <row r="16" spans="1:14" x14ac:dyDescent="0.25">
      <c r="A16" s="5"/>
      <c r="B16" s="47" t="s">
        <v>20</v>
      </c>
      <c r="C16" s="48">
        <v>14.07</v>
      </c>
      <c r="D16" s="48">
        <v>25.81</v>
      </c>
      <c r="E16" s="48">
        <v>16.46</v>
      </c>
      <c r="F16" s="48">
        <v>32.22</v>
      </c>
      <c r="G16" s="48">
        <v>14.78</v>
      </c>
      <c r="H16" s="48">
        <v>28.91</v>
      </c>
      <c r="I16" s="48">
        <v>12.81</v>
      </c>
      <c r="J16" s="5"/>
      <c r="K16" s="5"/>
      <c r="L16" s="5"/>
      <c r="M16" s="5"/>
      <c r="N16" s="15"/>
    </row>
    <row r="17" spans="1:13" x14ac:dyDescent="0.25">
      <c r="A17" s="5"/>
      <c r="B17" s="47" t="s">
        <v>19</v>
      </c>
      <c r="C17" s="48">
        <v>22.31</v>
      </c>
      <c r="D17" s="48">
        <v>37.450000000000003</v>
      </c>
      <c r="E17" s="48">
        <v>24.42</v>
      </c>
      <c r="F17" s="48">
        <v>41.37</v>
      </c>
      <c r="G17" s="48">
        <v>23.65</v>
      </c>
      <c r="H17" s="48">
        <v>33.49</v>
      </c>
      <c r="I17" s="48">
        <v>19.07</v>
      </c>
      <c r="J17" s="5"/>
      <c r="K17" s="5"/>
      <c r="L17" s="5"/>
      <c r="M17" s="5"/>
    </row>
    <row r="18" spans="1:13" x14ac:dyDescent="0.25">
      <c r="A18" s="5"/>
      <c r="B18" s="47" t="s">
        <v>15</v>
      </c>
      <c r="C18" s="48">
        <v>24.1</v>
      </c>
      <c r="D18" s="48">
        <v>36.85</v>
      </c>
      <c r="E18" s="48">
        <v>21.65</v>
      </c>
      <c r="F18" s="48">
        <v>43.91</v>
      </c>
      <c r="G18" s="48">
        <v>23.86</v>
      </c>
      <c r="H18" s="48">
        <v>31.89</v>
      </c>
      <c r="I18" s="48">
        <v>21.69</v>
      </c>
      <c r="J18" s="5"/>
      <c r="K18" s="5"/>
      <c r="L18" s="5"/>
      <c r="M18" s="5"/>
    </row>
    <row r="19" spans="1:13" x14ac:dyDescent="0.25">
      <c r="A19" s="5"/>
      <c r="B19" s="5"/>
      <c r="C19" s="5"/>
      <c r="D19" s="5"/>
      <c r="E19" s="5"/>
      <c r="F19" s="5"/>
      <c r="G19" s="5"/>
      <c r="H19" s="5"/>
      <c r="I19" s="5"/>
      <c r="J19" s="5"/>
      <c r="K19" s="5"/>
      <c r="L19" s="5"/>
      <c r="M19" s="5"/>
    </row>
    <row r="20" spans="1:13" x14ac:dyDescent="0.25">
      <c r="A20" s="5"/>
      <c r="B20" s="5"/>
      <c r="C20" s="5"/>
      <c r="D20" s="5"/>
      <c r="E20" s="5"/>
      <c r="F20" s="5"/>
      <c r="G20" s="5"/>
      <c r="H20" s="5"/>
      <c r="I20" s="5"/>
      <c r="J20" s="5"/>
      <c r="K20" s="5"/>
      <c r="L20" s="5"/>
      <c r="M20" s="5"/>
    </row>
    <row r="21" spans="1:13" x14ac:dyDescent="0.25">
      <c r="A21" s="5"/>
      <c r="B21" s="5"/>
      <c r="C21" s="5"/>
      <c r="D21" s="5"/>
      <c r="E21" s="5"/>
      <c r="F21" s="5"/>
      <c r="G21" s="5"/>
      <c r="H21" s="5"/>
      <c r="I21" s="5"/>
      <c r="J21" s="5"/>
      <c r="K21" s="5"/>
      <c r="L21" s="5"/>
      <c r="M21" s="5"/>
    </row>
    <row r="22" spans="1:13" x14ac:dyDescent="0.25">
      <c r="A22" s="5"/>
      <c r="B22" s="5"/>
      <c r="C22" s="5"/>
      <c r="D22" s="5"/>
      <c r="E22" s="5"/>
      <c r="F22" s="5"/>
      <c r="G22" s="5"/>
      <c r="H22" s="5"/>
      <c r="I22" s="5"/>
      <c r="J22" s="5"/>
      <c r="K22" s="5"/>
      <c r="L22" s="5"/>
      <c r="M22" s="5"/>
    </row>
    <row r="23" spans="1:13" x14ac:dyDescent="0.25">
      <c r="A23" s="5"/>
      <c r="B23" s="5"/>
      <c r="C23" s="5"/>
      <c r="D23" s="5"/>
      <c r="E23" s="5"/>
      <c r="F23" s="5"/>
      <c r="G23" s="5"/>
      <c r="H23" s="5"/>
      <c r="I23" s="5"/>
      <c r="J23" s="5"/>
      <c r="K23" s="5"/>
      <c r="L23" s="5"/>
      <c r="M23" s="5"/>
    </row>
    <row r="24" spans="1:13" x14ac:dyDescent="0.25">
      <c r="A24" s="5"/>
      <c r="B24" s="5"/>
      <c r="C24" s="5"/>
      <c r="D24" s="5"/>
      <c r="E24" s="5"/>
      <c r="F24" s="5"/>
      <c r="G24" s="5"/>
      <c r="H24" s="5"/>
      <c r="I24" s="5"/>
      <c r="J24" s="5"/>
      <c r="K24" s="5"/>
      <c r="L24" s="5"/>
      <c r="M24" s="5"/>
    </row>
    <row r="25" spans="1:13" x14ac:dyDescent="0.25">
      <c r="A25" s="5"/>
      <c r="B25" s="5"/>
      <c r="C25" s="5"/>
      <c r="D25" s="5"/>
      <c r="E25" s="5"/>
      <c r="F25" s="5"/>
      <c r="G25" s="5"/>
      <c r="H25" s="5"/>
      <c r="I25" s="5"/>
      <c r="J25" s="5"/>
      <c r="K25" s="5"/>
      <c r="L25" s="5"/>
      <c r="M25" s="5"/>
    </row>
    <row r="26" spans="1:13" x14ac:dyDescent="0.25">
      <c r="A26" s="5"/>
      <c r="B26" s="5"/>
      <c r="C26" s="5"/>
      <c r="D26" s="5"/>
      <c r="E26" s="5"/>
      <c r="F26" s="5"/>
      <c r="G26" s="5"/>
      <c r="H26" s="5"/>
      <c r="I26" s="5"/>
      <c r="J26" s="5"/>
      <c r="K26" s="5"/>
      <c r="L26" s="5"/>
      <c r="M26" s="5"/>
    </row>
    <row r="27" spans="1:13" x14ac:dyDescent="0.25">
      <c r="A27" s="5"/>
      <c r="B27" s="5"/>
      <c r="C27" s="5"/>
      <c r="D27" s="5"/>
      <c r="E27" s="5"/>
      <c r="F27" s="5"/>
      <c r="G27" s="5"/>
      <c r="H27" s="5"/>
      <c r="I27" s="5"/>
      <c r="J27" s="5"/>
      <c r="K27" s="5"/>
      <c r="L27" s="5"/>
      <c r="M27" s="5"/>
    </row>
    <row r="28" spans="1:13" x14ac:dyDescent="0.25">
      <c r="A28" s="5"/>
      <c r="B28" s="5"/>
      <c r="C28" s="5"/>
      <c r="D28" s="5"/>
      <c r="E28" s="5"/>
      <c r="F28" s="5"/>
      <c r="G28" s="5"/>
      <c r="H28" s="5"/>
      <c r="I28" s="5"/>
      <c r="J28" s="5"/>
      <c r="K28" s="5"/>
      <c r="L28" s="5"/>
      <c r="M28" s="5"/>
    </row>
    <row r="29" spans="1:13" x14ac:dyDescent="0.25">
      <c r="A29" s="5"/>
      <c r="B29" s="5"/>
      <c r="C29" s="5"/>
      <c r="D29" s="5"/>
      <c r="E29" s="5"/>
      <c r="F29" s="5"/>
      <c r="G29" s="5"/>
      <c r="H29" s="5"/>
      <c r="I29" s="5"/>
      <c r="J29" s="5"/>
      <c r="K29" s="5"/>
      <c r="L29" s="5"/>
      <c r="M29" s="5"/>
    </row>
    <row r="30" spans="1:13" x14ac:dyDescent="0.25">
      <c r="A30" s="5"/>
      <c r="B30" s="5"/>
      <c r="C30" s="5"/>
      <c r="D30" s="5"/>
      <c r="E30" s="5"/>
      <c r="F30" s="36"/>
      <c r="G30" s="36"/>
      <c r="H30" s="5"/>
      <c r="I30" s="5"/>
      <c r="J30" s="5"/>
      <c r="K30" s="5"/>
      <c r="L30" s="5"/>
      <c r="M30" s="5"/>
    </row>
    <row r="31" spans="1:13" x14ac:dyDescent="0.25">
      <c r="A31" s="5"/>
      <c r="B31" s="5"/>
      <c r="C31" s="5"/>
      <c r="D31" s="5"/>
      <c r="E31" s="5"/>
      <c r="F31" s="36"/>
      <c r="G31" s="36"/>
      <c r="H31" s="5"/>
      <c r="I31" s="5"/>
      <c r="J31" s="5"/>
      <c r="K31" s="5"/>
      <c r="L31" s="5"/>
      <c r="M31" s="5"/>
    </row>
    <row r="32" spans="1:13" x14ac:dyDescent="0.25">
      <c r="A32" s="5"/>
      <c r="B32" s="5"/>
      <c r="C32" s="5"/>
      <c r="D32" s="5"/>
      <c r="E32" s="5"/>
      <c r="F32" s="36"/>
      <c r="G32" s="36"/>
      <c r="H32" s="5"/>
      <c r="I32" s="5"/>
      <c r="J32" s="5"/>
      <c r="K32" s="5"/>
      <c r="L32" s="5"/>
      <c r="M32" s="5"/>
    </row>
    <row r="33" spans="1:14" x14ac:dyDescent="0.25">
      <c r="A33" s="5"/>
      <c r="B33" s="5"/>
      <c r="C33" s="5"/>
      <c r="D33" s="5"/>
      <c r="E33" s="5"/>
      <c r="F33" s="36"/>
      <c r="G33" s="36"/>
      <c r="H33" s="5"/>
      <c r="I33" s="5"/>
      <c r="J33" s="5"/>
      <c r="K33" s="5"/>
      <c r="L33" s="5"/>
      <c r="M33" s="5"/>
    </row>
    <row r="34" spans="1:14" x14ac:dyDescent="0.25">
      <c r="A34" s="5"/>
      <c r="B34" s="5"/>
      <c r="C34" s="5"/>
      <c r="D34" s="5"/>
      <c r="E34" s="5"/>
      <c r="F34" s="5"/>
      <c r="G34" s="5"/>
      <c r="H34" s="5"/>
      <c r="I34" s="5"/>
      <c r="J34" s="5"/>
      <c r="K34" s="5"/>
      <c r="L34" s="5"/>
      <c r="M34" s="5"/>
    </row>
    <row r="35" spans="1:14" x14ac:dyDescent="0.25">
      <c r="A35" s="5"/>
      <c r="B35" s="5"/>
      <c r="C35" s="5"/>
      <c r="D35" s="5"/>
      <c r="E35" s="5"/>
      <c r="F35" s="5"/>
      <c r="G35" s="5"/>
      <c r="H35" s="5"/>
      <c r="I35" s="5"/>
      <c r="J35" s="5"/>
      <c r="K35" s="5"/>
      <c r="L35" s="5"/>
      <c r="M35" s="5"/>
    </row>
    <row r="36" spans="1:14" x14ac:dyDescent="0.25">
      <c r="A36" s="5"/>
      <c r="B36" s="5"/>
      <c r="C36" s="5"/>
      <c r="D36" s="5"/>
      <c r="E36" s="5"/>
      <c r="F36" s="5"/>
      <c r="G36" s="5"/>
      <c r="H36" s="5"/>
      <c r="I36" s="5"/>
      <c r="J36" s="5"/>
      <c r="K36" s="5"/>
      <c r="L36" s="5"/>
      <c r="M36" s="5"/>
    </row>
    <row r="37" spans="1:14" x14ac:dyDescent="0.25">
      <c r="A37" s="5"/>
      <c r="B37" s="5"/>
      <c r="C37" s="5"/>
      <c r="D37" s="5"/>
      <c r="E37" s="5"/>
      <c r="F37" s="5"/>
      <c r="G37" s="5"/>
      <c r="H37" s="5"/>
      <c r="I37" s="5"/>
      <c r="J37" s="5"/>
      <c r="K37" s="5"/>
      <c r="L37" s="5"/>
      <c r="M37" s="5"/>
    </row>
    <row r="38" spans="1:14" x14ac:dyDescent="0.25">
      <c r="A38" s="5"/>
      <c r="B38" s="5"/>
      <c r="C38" s="5"/>
      <c r="D38" s="5"/>
      <c r="E38" s="5"/>
      <c r="F38" s="5"/>
      <c r="G38" s="5"/>
      <c r="H38" s="5"/>
      <c r="I38" s="5"/>
      <c r="J38" s="5"/>
      <c r="K38" s="5"/>
      <c r="L38" s="5"/>
      <c r="M38" s="5"/>
    </row>
    <row r="39" spans="1:14" hidden="1" x14ac:dyDescent="0.25">
      <c r="A39" s="5"/>
      <c r="B39" s="5"/>
      <c r="C39" s="5"/>
      <c r="D39" s="5"/>
      <c r="E39" s="5"/>
      <c r="F39" s="5"/>
      <c r="G39" s="5"/>
      <c r="H39" s="5"/>
      <c r="I39" s="5"/>
      <c r="J39" s="5"/>
      <c r="K39" s="5"/>
      <c r="L39" s="5"/>
      <c r="M39" s="5"/>
    </row>
    <row r="40" spans="1:14" hidden="1" x14ac:dyDescent="0.25">
      <c r="A40" s="5"/>
      <c r="B40" s="5"/>
      <c r="C40" s="5"/>
      <c r="D40" s="5"/>
      <c r="E40" s="5"/>
      <c r="F40" s="5"/>
      <c r="G40" s="5"/>
      <c r="H40" s="5"/>
      <c r="I40" s="5"/>
      <c r="J40" s="5"/>
      <c r="K40" s="5"/>
      <c r="L40" s="5"/>
      <c r="M40" s="5"/>
    </row>
    <row r="41" spans="1:14" hidden="1" x14ac:dyDescent="0.25">
      <c r="A41" s="5"/>
      <c r="B41" s="5"/>
      <c r="C41" s="5"/>
      <c r="D41" s="5"/>
      <c r="E41" s="5"/>
      <c r="F41" s="5"/>
      <c r="G41" s="5"/>
      <c r="H41" s="5"/>
      <c r="I41" s="5"/>
      <c r="J41" s="5"/>
      <c r="K41" s="5"/>
      <c r="L41" s="5"/>
      <c r="M41" s="5"/>
    </row>
    <row r="42" spans="1:14" ht="17.25" customHeight="1" x14ac:dyDescent="0.25">
      <c r="A42" s="49" t="s">
        <v>130</v>
      </c>
      <c r="B42" s="49"/>
      <c r="C42" s="49"/>
      <c r="D42" s="49"/>
      <c r="E42" s="49"/>
      <c r="F42" s="49"/>
      <c r="G42" s="49"/>
      <c r="H42" s="49"/>
      <c r="I42" s="49"/>
      <c r="J42" s="49"/>
      <c r="K42" s="49"/>
      <c r="L42" s="49"/>
      <c r="M42" s="49"/>
    </row>
    <row r="43" spans="1:14" ht="9.75" customHeight="1" x14ac:dyDescent="0.25">
      <c r="A43" s="37"/>
      <c r="B43" s="37"/>
      <c r="C43" s="37"/>
      <c r="D43" s="37"/>
      <c r="E43" s="37"/>
      <c r="F43" s="37"/>
      <c r="G43" s="37"/>
      <c r="H43" s="37"/>
      <c r="I43" s="37"/>
      <c r="J43" s="37"/>
      <c r="K43" s="37"/>
      <c r="L43" s="37"/>
      <c r="M43" s="37"/>
      <c r="N43" s="44"/>
    </row>
  </sheetData>
  <mergeCells count="7">
    <mergeCell ref="A42:M42"/>
    <mergeCell ref="B14:I14"/>
    <mergeCell ref="A4:I4"/>
    <mergeCell ref="A5:I5"/>
    <mergeCell ref="A1:M1"/>
    <mergeCell ref="L2:M2"/>
    <mergeCell ref="A3:M3"/>
  </mergeCells>
  <conditionalFormatting sqref="C16:I18">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C126-C349-47D8-801D-1B699671D7C5}">
  <dimension ref="A1:F7"/>
  <sheetViews>
    <sheetView workbookViewId="0">
      <selection sqref="A1:F7"/>
    </sheetView>
  </sheetViews>
  <sheetFormatPr defaultRowHeight="15" x14ac:dyDescent="0.25"/>
  <cols>
    <col min="1" max="1" width="9.5703125" bestFit="1" customWidth="1"/>
    <col min="2" max="2" width="15.85546875" bestFit="1" customWidth="1"/>
    <col min="3" max="3" width="11.42578125" bestFit="1" customWidth="1"/>
    <col min="4" max="4" width="11.28515625" bestFit="1" customWidth="1"/>
    <col min="5" max="5" width="25.140625" bestFit="1" customWidth="1"/>
    <col min="6" max="6" width="21.7109375" bestFit="1" customWidth="1"/>
  </cols>
  <sheetData>
    <row r="1" spans="1:6" x14ac:dyDescent="0.25">
      <c r="A1" t="s">
        <v>34</v>
      </c>
      <c r="B1" t="s">
        <v>12</v>
      </c>
      <c r="C1" t="s">
        <v>31</v>
      </c>
      <c r="D1" t="s">
        <v>35</v>
      </c>
      <c r="E1" t="s">
        <v>36</v>
      </c>
      <c r="F1" t="s">
        <v>37</v>
      </c>
    </row>
    <row r="2" spans="1:6" x14ac:dyDescent="0.25">
      <c r="A2" t="s">
        <v>38</v>
      </c>
      <c r="B2" t="s">
        <v>20</v>
      </c>
      <c r="C2">
        <v>11.34</v>
      </c>
      <c r="D2">
        <v>3.8</v>
      </c>
      <c r="E2">
        <v>22.5</v>
      </c>
      <c r="F2">
        <v>13.05</v>
      </c>
    </row>
    <row r="3" spans="1:6" x14ac:dyDescent="0.25">
      <c r="A3" t="s">
        <v>39</v>
      </c>
      <c r="B3" t="s">
        <v>20</v>
      </c>
      <c r="C3">
        <v>11.34</v>
      </c>
      <c r="D3">
        <v>3.8</v>
      </c>
      <c r="E3">
        <v>22.04</v>
      </c>
      <c r="F3">
        <v>14.62</v>
      </c>
    </row>
    <row r="4" spans="1:6" x14ac:dyDescent="0.25">
      <c r="A4" t="s">
        <v>38</v>
      </c>
      <c r="B4" t="s">
        <v>19</v>
      </c>
      <c r="C4">
        <v>6.99</v>
      </c>
      <c r="D4">
        <v>4.3099999999999996</v>
      </c>
      <c r="E4">
        <v>6.68</v>
      </c>
      <c r="F4">
        <v>26.29</v>
      </c>
    </row>
    <row r="5" spans="1:6" x14ac:dyDescent="0.25">
      <c r="A5" t="s">
        <v>39</v>
      </c>
      <c r="B5" t="s">
        <v>19</v>
      </c>
      <c r="C5">
        <v>6.99</v>
      </c>
      <c r="D5">
        <v>4.3099999999999996</v>
      </c>
      <c r="E5">
        <v>6.41</v>
      </c>
      <c r="F5">
        <v>24.59</v>
      </c>
    </row>
    <row r="6" spans="1:6" x14ac:dyDescent="0.25">
      <c r="A6" t="s">
        <v>38</v>
      </c>
      <c r="B6" t="s">
        <v>15</v>
      </c>
      <c r="C6">
        <v>3.98</v>
      </c>
      <c r="D6">
        <v>4.2699999999999996</v>
      </c>
      <c r="E6">
        <v>26.1</v>
      </c>
      <c r="F6">
        <v>22.72</v>
      </c>
    </row>
    <row r="7" spans="1:6" x14ac:dyDescent="0.25">
      <c r="A7" t="s">
        <v>39</v>
      </c>
      <c r="B7" t="s">
        <v>15</v>
      </c>
      <c r="C7">
        <v>3.98</v>
      </c>
      <c r="D7">
        <v>4.2699999999999996</v>
      </c>
      <c r="E7">
        <v>26.11</v>
      </c>
      <c r="F7">
        <v>25.07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8EF1-3C17-4F04-97DF-300C53E8295D}">
  <dimension ref="A1:B4"/>
  <sheetViews>
    <sheetView workbookViewId="0">
      <selection sqref="A1:F7"/>
    </sheetView>
  </sheetViews>
  <sheetFormatPr defaultRowHeight="15" x14ac:dyDescent="0.25"/>
  <cols>
    <col min="1" max="1" width="15.85546875" bestFit="1" customWidth="1"/>
    <col min="2" max="2" width="17.28515625" bestFit="1" customWidth="1"/>
  </cols>
  <sheetData>
    <row r="1" spans="1:2" x14ac:dyDescent="0.25">
      <c r="A1" t="s">
        <v>12</v>
      </c>
      <c r="B1" t="s">
        <v>50</v>
      </c>
    </row>
    <row r="2" spans="1:2" x14ac:dyDescent="0.25">
      <c r="A2" t="s">
        <v>20</v>
      </c>
      <c r="B2">
        <v>5.3273570412958868E-2</v>
      </c>
    </row>
    <row r="3" spans="1:2" x14ac:dyDescent="0.25">
      <c r="A3" t="s">
        <v>19</v>
      </c>
      <c r="B3">
        <v>2.1957375293014936E-2</v>
      </c>
    </row>
    <row r="4" spans="1:2" x14ac:dyDescent="0.25">
      <c r="A4" t="s">
        <v>15</v>
      </c>
      <c r="B4">
        <v>3.7672460666425957E-3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F3B62-CEE0-4ED8-84C1-C63C809664E8}">
  <dimension ref="A1:C4"/>
  <sheetViews>
    <sheetView workbookViewId="0">
      <selection sqref="A1:F7"/>
    </sheetView>
  </sheetViews>
  <sheetFormatPr defaultRowHeight="15" x14ac:dyDescent="0.25"/>
  <cols>
    <col min="1" max="1" width="15.85546875" bestFit="1" customWidth="1"/>
    <col min="2" max="2" width="11.42578125" bestFit="1" customWidth="1"/>
    <col min="3" max="3" width="16.5703125" bestFit="1" customWidth="1"/>
  </cols>
  <sheetData>
    <row r="1" spans="1:3" x14ac:dyDescent="0.25">
      <c r="A1" t="s">
        <v>12</v>
      </c>
      <c r="B1" t="s">
        <v>31</v>
      </c>
      <c r="C1" t="s">
        <v>32</v>
      </c>
    </row>
    <row r="2" spans="1:3" x14ac:dyDescent="0.25">
      <c r="A2" t="s">
        <v>15</v>
      </c>
      <c r="B2">
        <v>3.98</v>
      </c>
      <c r="C2">
        <v>26.1</v>
      </c>
    </row>
    <row r="3" spans="1:3" x14ac:dyDescent="0.25">
      <c r="A3" t="s">
        <v>20</v>
      </c>
      <c r="B3">
        <v>11.44</v>
      </c>
      <c r="C3">
        <v>22.22</v>
      </c>
    </row>
    <row r="4" spans="1:3" x14ac:dyDescent="0.25">
      <c r="A4" t="s">
        <v>19</v>
      </c>
      <c r="B4">
        <v>7</v>
      </c>
      <c r="C4">
        <v>6.51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35BD-FFE8-402A-9AC0-4E145E67B0C2}">
  <dimension ref="A1:D4"/>
  <sheetViews>
    <sheetView workbookViewId="0">
      <selection sqref="A1:F7"/>
    </sheetView>
  </sheetViews>
  <sheetFormatPr defaultRowHeight="15" x14ac:dyDescent="0.25"/>
  <cols>
    <col min="1" max="1" width="15.85546875" bestFit="1" customWidth="1"/>
    <col min="2" max="2" width="16.42578125" bestFit="1" customWidth="1"/>
    <col min="3" max="3" width="11.42578125" bestFit="1" customWidth="1"/>
    <col min="4" max="4" width="17.28515625" bestFit="1" customWidth="1"/>
  </cols>
  <sheetData>
    <row r="1" spans="1:4" x14ac:dyDescent="0.25">
      <c r="A1" t="s">
        <v>12</v>
      </c>
      <c r="B1" t="s">
        <v>8</v>
      </c>
      <c r="C1" t="s">
        <v>31</v>
      </c>
      <c r="D1" t="s">
        <v>33</v>
      </c>
    </row>
    <row r="2" spans="1:4" x14ac:dyDescent="0.25">
      <c r="A2" t="s">
        <v>20</v>
      </c>
      <c r="B2">
        <v>21.6</v>
      </c>
      <c r="C2">
        <v>11.44</v>
      </c>
      <c r="D2">
        <v>2.4700000000000002</v>
      </c>
    </row>
    <row r="3" spans="1:4" x14ac:dyDescent="0.25">
      <c r="A3" t="s">
        <v>19</v>
      </c>
      <c r="B3">
        <v>29.92</v>
      </c>
      <c r="C3">
        <v>7</v>
      </c>
      <c r="D3">
        <v>2.1</v>
      </c>
    </row>
    <row r="4" spans="1:4" x14ac:dyDescent="0.25">
      <c r="A4" t="s">
        <v>15</v>
      </c>
      <c r="B4">
        <v>31.01</v>
      </c>
      <c r="C4">
        <v>3.98</v>
      </c>
      <c r="D4">
        <v>1.23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524CF-C5C6-41F6-A3D6-1063C3E630A4}">
  <sheetPr>
    <tabColor theme="9" tint="-0.499984740745262"/>
  </sheetPr>
  <dimension ref="A1:R40"/>
  <sheetViews>
    <sheetView showGridLines="0" zoomScaleNormal="100" workbookViewId="0">
      <pane ySplit="12" topLeftCell="A13" activePane="bottomLeft" state="frozen"/>
      <selection pane="bottomLeft" activeCell="P40" sqref="P40"/>
    </sheetView>
  </sheetViews>
  <sheetFormatPr defaultColWidth="0" defaultRowHeight="15" zeroHeight="1" x14ac:dyDescent="0.25"/>
  <cols>
    <col min="1" max="1" width="13.5703125" customWidth="1"/>
    <col min="2" max="5" width="15.7109375" customWidth="1"/>
    <col min="6" max="6" width="4.5703125" customWidth="1"/>
    <col min="7" max="9" width="15.7109375" customWidth="1"/>
    <col min="10" max="13" width="5.7109375" customWidth="1"/>
    <col min="14" max="14" width="8.28515625" customWidth="1"/>
    <col min="15" max="15" width="1.42578125" customWidth="1"/>
    <col min="16" max="16" width="2" customWidth="1"/>
    <col min="17" max="18" width="0" hidden="1" customWidth="1"/>
    <col min="19" max="16384" width="9.140625" hidden="1"/>
  </cols>
  <sheetData>
    <row r="1" spans="1:16" ht="26.25" x14ac:dyDescent="0.4">
      <c r="A1" s="58" t="s">
        <v>30</v>
      </c>
      <c r="B1" s="58"/>
      <c r="C1" s="58"/>
      <c r="D1" s="58"/>
      <c r="E1" s="58"/>
      <c r="F1" s="58"/>
      <c r="G1" s="58"/>
      <c r="H1" s="58"/>
      <c r="I1" s="58"/>
      <c r="J1" s="58"/>
      <c r="K1" s="58"/>
      <c r="L1" s="58"/>
      <c r="M1" s="58"/>
      <c r="N1" s="58"/>
      <c r="O1" s="42"/>
    </row>
    <row r="2" spans="1:16" ht="4.5" customHeight="1" x14ac:dyDescent="0.4">
      <c r="A2" s="38"/>
      <c r="B2" s="38"/>
      <c r="C2" s="38"/>
      <c r="D2" s="38"/>
      <c r="E2" s="38"/>
      <c r="F2" s="38"/>
      <c r="G2" s="38"/>
      <c r="H2" s="38"/>
      <c r="I2" s="38"/>
      <c r="J2" s="38"/>
      <c r="K2" s="38"/>
      <c r="L2" s="38"/>
      <c r="M2" s="38"/>
      <c r="N2" s="38"/>
      <c r="O2" s="19"/>
    </row>
    <row r="3" spans="1:16" x14ac:dyDescent="0.25">
      <c r="A3" s="59" t="s">
        <v>51</v>
      </c>
      <c r="B3" s="59"/>
      <c r="C3" s="59"/>
      <c r="D3" s="59"/>
      <c r="E3" s="59"/>
      <c r="F3" s="59"/>
      <c r="G3" s="59"/>
      <c r="H3" s="59"/>
      <c r="I3" s="59"/>
      <c r="J3" s="59"/>
      <c r="K3" s="59"/>
      <c r="L3" s="59"/>
      <c r="M3" s="59"/>
      <c r="N3" s="59"/>
      <c r="O3" s="42"/>
    </row>
    <row r="4" spans="1:16" ht="6" customHeight="1" x14ac:dyDescent="0.25">
      <c r="A4" s="5"/>
      <c r="B4" s="5"/>
      <c r="C4" s="5"/>
      <c r="D4" s="5"/>
      <c r="E4" s="5"/>
      <c r="F4" s="5"/>
      <c r="G4" s="5"/>
      <c r="H4" s="5"/>
      <c r="I4" s="5"/>
      <c r="J4" s="5"/>
      <c r="K4" s="5"/>
      <c r="L4" s="5"/>
      <c r="M4" s="5"/>
      <c r="N4" s="5"/>
      <c r="O4" s="5"/>
    </row>
    <row r="5" spans="1:16" x14ac:dyDescent="0.25">
      <c r="A5" s="5"/>
      <c r="B5" s="5"/>
      <c r="C5" s="5"/>
      <c r="D5" s="5"/>
      <c r="E5" s="5"/>
      <c r="F5" s="5"/>
      <c r="G5" s="5"/>
      <c r="H5" s="5"/>
      <c r="I5" s="5"/>
      <c r="J5" s="5"/>
      <c r="K5" s="5"/>
      <c r="L5" s="5"/>
      <c r="M5" s="5"/>
      <c r="N5" s="5"/>
      <c r="O5" s="5"/>
    </row>
    <row r="6" spans="1:16" x14ac:dyDescent="0.25">
      <c r="A6" s="5"/>
      <c r="B6" s="5"/>
      <c r="C6" s="5"/>
      <c r="D6" s="5"/>
      <c r="E6" s="5"/>
      <c r="F6" s="5"/>
      <c r="G6" s="5"/>
      <c r="H6" s="5"/>
      <c r="I6" s="5"/>
      <c r="J6" s="5"/>
      <c r="K6" s="5"/>
      <c r="L6" s="5"/>
      <c r="M6" s="5"/>
      <c r="N6" s="5"/>
      <c r="O6" s="5"/>
      <c r="P6" s="7"/>
    </row>
    <row r="7" spans="1:16" x14ac:dyDescent="0.25">
      <c r="A7" s="5"/>
      <c r="B7" s="5"/>
      <c r="C7" s="5"/>
      <c r="D7" s="5"/>
      <c r="E7" s="5"/>
      <c r="F7" s="5"/>
      <c r="G7" s="5"/>
      <c r="H7" s="5"/>
      <c r="I7" s="5"/>
      <c r="J7" s="5"/>
      <c r="K7" s="5"/>
      <c r="L7" s="5"/>
      <c r="M7" s="5"/>
      <c r="N7" s="5"/>
      <c r="O7" s="5"/>
      <c r="P7" s="7"/>
    </row>
    <row r="8" spans="1:16" x14ac:dyDescent="0.25">
      <c r="A8" s="5"/>
      <c r="B8" s="5"/>
      <c r="C8" s="5"/>
      <c r="D8" s="5"/>
      <c r="E8" s="5"/>
      <c r="F8" s="5"/>
      <c r="G8" s="5"/>
      <c r="H8" s="5"/>
      <c r="I8" s="5"/>
      <c r="J8" s="5"/>
      <c r="K8" s="5"/>
      <c r="L8" s="5"/>
      <c r="M8" s="5"/>
      <c r="N8" s="5"/>
      <c r="O8" s="5"/>
      <c r="P8" s="6"/>
    </row>
    <row r="9" spans="1:16" x14ac:dyDescent="0.25">
      <c r="A9" s="5"/>
      <c r="B9" s="5"/>
      <c r="C9" s="5"/>
      <c r="D9" s="5"/>
      <c r="E9" s="5"/>
      <c r="F9" s="5"/>
      <c r="G9" s="5"/>
      <c r="H9" s="5"/>
      <c r="I9" s="5"/>
      <c r="J9" s="5"/>
      <c r="K9" s="5"/>
      <c r="L9" s="5"/>
      <c r="M9" s="5"/>
      <c r="N9" s="5"/>
      <c r="O9" s="5"/>
    </row>
    <row r="10" spans="1:16" x14ac:dyDescent="0.25">
      <c r="A10" s="5"/>
      <c r="B10" s="5"/>
      <c r="C10" s="5"/>
      <c r="D10" s="5"/>
      <c r="E10" s="5"/>
      <c r="F10" s="5"/>
      <c r="G10" s="5"/>
      <c r="H10" s="5"/>
      <c r="I10" s="5"/>
      <c r="J10" s="5"/>
      <c r="K10" s="5"/>
      <c r="L10" s="5"/>
      <c r="M10" s="5"/>
      <c r="N10" s="5"/>
      <c r="O10" s="5"/>
    </row>
    <row r="11" spans="1:16" x14ac:dyDescent="0.25">
      <c r="A11" s="5"/>
      <c r="B11" s="5"/>
      <c r="C11" s="5"/>
      <c r="D11" s="5"/>
      <c r="E11" s="5"/>
      <c r="F11" s="5"/>
      <c r="G11" s="5"/>
      <c r="H11" s="5"/>
      <c r="I11" s="5"/>
      <c r="J11" s="5"/>
      <c r="K11" s="5"/>
      <c r="L11" s="5"/>
      <c r="M11" s="5"/>
      <c r="N11" s="5"/>
      <c r="O11" s="5"/>
    </row>
    <row r="12" spans="1:16" x14ac:dyDescent="0.25">
      <c r="A12" s="5"/>
      <c r="B12" s="5"/>
      <c r="C12" s="5"/>
      <c r="D12" s="5"/>
      <c r="E12" s="5"/>
      <c r="F12" s="5"/>
      <c r="G12" s="5"/>
      <c r="H12" s="5"/>
      <c r="I12" s="5"/>
      <c r="J12" s="5"/>
      <c r="K12" s="5"/>
      <c r="L12" s="5"/>
      <c r="M12" s="5"/>
      <c r="N12" s="5"/>
      <c r="O12" s="5"/>
    </row>
    <row r="13" spans="1:16" ht="6" customHeight="1" x14ac:dyDescent="0.25">
      <c r="A13" s="34"/>
      <c r="B13" s="34"/>
      <c r="C13" s="34"/>
      <c r="D13" s="34"/>
      <c r="E13" s="34"/>
      <c r="F13" s="34"/>
      <c r="G13" s="34"/>
      <c r="H13" s="34"/>
      <c r="I13" s="34"/>
      <c r="J13" s="34"/>
      <c r="K13" s="34"/>
      <c r="L13" s="34"/>
      <c r="M13" s="34"/>
      <c r="N13" s="34"/>
      <c r="O13" s="34"/>
    </row>
    <row r="14" spans="1:16" x14ac:dyDescent="0.25">
      <c r="A14" s="5"/>
      <c r="B14" s="5"/>
      <c r="C14" s="5"/>
      <c r="D14" s="5"/>
      <c r="E14" s="5"/>
      <c r="F14" s="5"/>
      <c r="G14" s="5"/>
      <c r="H14" s="5"/>
      <c r="I14" s="5"/>
      <c r="J14" s="5"/>
      <c r="K14" s="5"/>
      <c r="L14" s="5"/>
      <c r="M14" s="5"/>
      <c r="N14" s="5"/>
      <c r="O14" s="5"/>
    </row>
    <row r="15" spans="1:16" x14ac:dyDescent="0.25">
      <c r="A15" s="5"/>
      <c r="B15" s="5"/>
      <c r="C15" s="5"/>
      <c r="D15" s="5"/>
      <c r="E15" s="5"/>
      <c r="F15" s="5"/>
      <c r="G15" s="5"/>
      <c r="H15" s="5"/>
      <c r="I15" s="5"/>
      <c r="J15" s="5"/>
      <c r="K15" s="5"/>
      <c r="L15" s="5"/>
      <c r="M15" s="5"/>
      <c r="N15" s="5"/>
      <c r="O15" s="5"/>
    </row>
    <row r="16" spans="1:16" x14ac:dyDescent="0.25">
      <c r="A16" s="5"/>
      <c r="B16" s="5"/>
      <c r="C16" s="5"/>
      <c r="D16" s="5"/>
      <c r="E16" s="5"/>
      <c r="F16" s="5"/>
      <c r="G16" s="5"/>
      <c r="H16" s="5"/>
      <c r="I16" s="5"/>
      <c r="J16" s="5"/>
      <c r="K16" s="5"/>
      <c r="L16" s="5"/>
      <c r="M16" s="5"/>
      <c r="N16" s="5"/>
      <c r="O16" s="5"/>
    </row>
    <row r="17" spans="1:15" x14ac:dyDescent="0.25">
      <c r="A17" s="5"/>
      <c r="B17" s="5"/>
      <c r="C17" s="5"/>
      <c r="D17" s="5"/>
      <c r="E17" s="5"/>
      <c r="F17" s="5"/>
      <c r="G17" s="5"/>
      <c r="H17" s="5"/>
      <c r="I17" s="5"/>
      <c r="J17" s="5"/>
      <c r="K17" s="5"/>
      <c r="L17" s="5"/>
      <c r="M17" s="5"/>
      <c r="N17" s="5"/>
      <c r="O17" s="5"/>
    </row>
    <row r="18" spans="1:15" x14ac:dyDescent="0.25">
      <c r="A18" s="5"/>
      <c r="B18" s="5"/>
      <c r="C18" s="5"/>
      <c r="D18" s="5"/>
      <c r="E18" s="5"/>
      <c r="F18" s="5"/>
      <c r="G18" s="5"/>
      <c r="H18" s="5"/>
      <c r="I18" s="5"/>
      <c r="J18" s="5"/>
      <c r="K18" s="5"/>
      <c r="L18" s="5"/>
      <c r="M18" s="5"/>
      <c r="N18" s="5"/>
      <c r="O18" s="5"/>
    </row>
    <row r="19" spans="1:15" x14ac:dyDescent="0.25">
      <c r="A19" s="5"/>
      <c r="B19" s="5"/>
      <c r="C19" s="5"/>
      <c r="D19" s="5"/>
      <c r="E19" s="5"/>
      <c r="F19" s="5"/>
      <c r="G19" s="5"/>
      <c r="H19" s="5"/>
      <c r="I19" s="5"/>
      <c r="J19" s="5"/>
      <c r="K19" s="5"/>
      <c r="L19" s="5"/>
      <c r="M19" s="5"/>
      <c r="N19" s="5"/>
      <c r="O19" s="5"/>
    </row>
    <row r="20" spans="1:15" x14ac:dyDescent="0.25">
      <c r="A20" s="5"/>
      <c r="B20" s="5"/>
      <c r="C20" s="5"/>
      <c r="D20" s="5"/>
      <c r="E20" s="5"/>
      <c r="F20" s="5"/>
      <c r="G20" s="5"/>
      <c r="H20" s="5"/>
      <c r="I20" s="5"/>
      <c r="J20" s="5"/>
      <c r="K20" s="5"/>
      <c r="L20" s="5"/>
      <c r="M20" s="5"/>
      <c r="N20" s="5"/>
      <c r="O20" s="5"/>
    </row>
    <row r="21" spans="1:15" x14ac:dyDescent="0.25">
      <c r="A21" s="5"/>
      <c r="B21" s="5"/>
      <c r="C21" s="5"/>
      <c r="D21" s="5"/>
      <c r="E21" s="5"/>
      <c r="F21" s="5"/>
      <c r="G21" s="5"/>
      <c r="H21" s="5"/>
      <c r="I21" s="5"/>
      <c r="J21" s="5"/>
      <c r="K21" s="5"/>
      <c r="L21" s="5"/>
      <c r="M21" s="5"/>
      <c r="N21" s="5"/>
      <c r="O21" s="5"/>
    </row>
    <row r="22" spans="1:15" x14ac:dyDescent="0.25">
      <c r="A22" s="5"/>
      <c r="B22" s="5"/>
      <c r="C22" s="5"/>
      <c r="D22" s="5"/>
      <c r="E22" s="5"/>
      <c r="F22" s="5"/>
      <c r="G22" s="5"/>
      <c r="H22" s="5"/>
      <c r="I22" s="5"/>
      <c r="J22" s="5"/>
      <c r="K22" s="5"/>
      <c r="L22" s="5"/>
      <c r="M22" s="5"/>
      <c r="N22" s="5"/>
      <c r="O22" s="5"/>
    </row>
    <row r="23" spans="1:15" x14ac:dyDescent="0.25">
      <c r="A23" s="5"/>
      <c r="B23" s="5"/>
      <c r="C23" s="5"/>
      <c r="D23" s="5"/>
      <c r="E23" s="5"/>
      <c r="F23" s="5"/>
      <c r="G23" s="5"/>
      <c r="H23" s="5"/>
      <c r="I23" s="5"/>
      <c r="J23" s="5"/>
      <c r="K23" s="5"/>
      <c r="L23" s="5"/>
      <c r="M23" s="5"/>
      <c r="N23" s="5"/>
      <c r="O23" s="5"/>
    </row>
    <row r="24" spans="1:15" x14ac:dyDescent="0.25">
      <c r="A24" s="5"/>
      <c r="B24" s="5"/>
      <c r="C24" s="5"/>
      <c r="D24" s="5"/>
      <c r="E24" s="5"/>
      <c r="F24" s="5"/>
      <c r="G24" s="5"/>
      <c r="H24" s="5"/>
      <c r="I24" s="5"/>
      <c r="J24" s="5"/>
      <c r="K24" s="5"/>
      <c r="L24" s="5"/>
      <c r="M24" s="5"/>
      <c r="N24" s="5"/>
      <c r="O24" s="5"/>
    </row>
    <row r="25" spans="1:15" x14ac:dyDescent="0.25">
      <c r="A25" s="5"/>
      <c r="B25" s="5"/>
      <c r="C25" s="5"/>
      <c r="D25" s="5"/>
      <c r="E25" s="5"/>
      <c r="F25" s="5"/>
      <c r="G25" s="5"/>
      <c r="H25" s="5"/>
      <c r="I25" s="5"/>
      <c r="J25" s="5"/>
      <c r="K25" s="5"/>
      <c r="L25" s="5"/>
      <c r="M25" s="5"/>
      <c r="N25" s="5"/>
      <c r="O25" s="5"/>
    </row>
    <row r="26" spans="1:15" x14ac:dyDescent="0.25">
      <c r="A26" s="5"/>
      <c r="B26" s="5"/>
      <c r="C26" s="5"/>
      <c r="D26" s="5"/>
      <c r="E26" s="5"/>
      <c r="F26" s="5"/>
      <c r="G26" s="5"/>
      <c r="H26" s="5"/>
      <c r="I26" s="5"/>
      <c r="J26" s="5"/>
      <c r="K26" s="5"/>
      <c r="L26" s="5"/>
      <c r="M26" s="5"/>
      <c r="N26" s="5"/>
      <c r="O26" s="5"/>
    </row>
    <row r="27" spans="1:15" x14ac:dyDescent="0.25">
      <c r="A27" s="5"/>
      <c r="B27" s="5"/>
      <c r="C27" s="5"/>
      <c r="D27" s="5"/>
      <c r="E27" s="5"/>
      <c r="F27" s="5"/>
      <c r="G27" s="5"/>
      <c r="H27" s="5"/>
      <c r="I27" s="5"/>
      <c r="J27" s="5"/>
      <c r="K27" s="5"/>
      <c r="L27" s="5"/>
      <c r="M27" s="5"/>
      <c r="N27" s="5"/>
      <c r="O27" s="5"/>
    </row>
    <row r="28" spans="1:15" x14ac:dyDescent="0.25">
      <c r="A28" s="5"/>
      <c r="B28" s="5"/>
      <c r="C28" s="5"/>
      <c r="D28" s="5"/>
      <c r="E28" s="5"/>
      <c r="F28" s="5"/>
      <c r="G28" s="5"/>
      <c r="H28" s="5"/>
      <c r="I28" s="5"/>
      <c r="J28" s="5"/>
      <c r="K28" s="5"/>
      <c r="L28" s="5"/>
      <c r="M28" s="5"/>
      <c r="N28" s="5"/>
      <c r="O28" s="5"/>
    </row>
    <row r="29" spans="1:15" x14ac:dyDescent="0.25">
      <c r="A29" s="5"/>
      <c r="B29" s="5"/>
      <c r="C29" s="5"/>
      <c r="D29" s="5"/>
      <c r="E29" s="5"/>
      <c r="F29" s="5"/>
      <c r="G29" s="5"/>
      <c r="H29" s="5"/>
      <c r="I29" s="5"/>
      <c r="J29" s="5"/>
      <c r="K29" s="5"/>
      <c r="L29" s="5"/>
      <c r="M29" s="5"/>
      <c r="N29" s="5"/>
      <c r="O29" s="5"/>
    </row>
    <row r="30" spans="1:15" x14ac:dyDescent="0.25">
      <c r="A30" s="5"/>
      <c r="B30" s="5"/>
      <c r="C30" s="5"/>
      <c r="D30" s="5"/>
      <c r="E30" s="5"/>
      <c r="F30" s="5"/>
      <c r="G30" s="5"/>
      <c r="H30" s="5"/>
      <c r="I30" s="5"/>
      <c r="J30" s="5"/>
      <c r="K30" s="5"/>
      <c r="L30" s="5"/>
      <c r="M30" s="5"/>
      <c r="N30" s="5"/>
      <c r="O30" s="5"/>
    </row>
    <row r="31" spans="1:15" x14ac:dyDescent="0.25">
      <c r="A31" s="5"/>
      <c r="B31" s="5"/>
      <c r="C31" s="5"/>
      <c r="D31" s="5"/>
      <c r="E31" s="5"/>
      <c r="F31" s="5"/>
      <c r="G31" s="5"/>
      <c r="H31" s="5"/>
      <c r="I31" s="5"/>
      <c r="J31" s="5"/>
      <c r="K31" s="5"/>
      <c r="L31" s="5"/>
      <c r="M31" s="5"/>
      <c r="N31" s="5"/>
      <c r="O31" s="5"/>
    </row>
    <row r="32" spans="1:15" x14ac:dyDescent="0.25">
      <c r="A32" s="5"/>
      <c r="B32" s="5"/>
      <c r="C32" s="5"/>
      <c r="D32" s="5"/>
      <c r="E32" s="5"/>
      <c r="F32" s="5"/>
      <c r="G32" s="5"/>
      <c r="H32" s="5"/>
      <c r="I32" s="5"/>
      <c r="J32" s="5"/>
      <c r="K32" s="5"/>
      <c r="L32" s="5"/>
      <c r="M32" s="5"/>
      <c r="N32" s="5"/>
      <c r="O32" s="5"/>
    </row>
    <row r="33" spans="1:15" ht="15.75" x14ac:dyDescent="0.25">
      <c r="A33" s="57" t="s">
        <v>126</v>
      </c>
      <c r="B33" s="57"/>
      <c r="C33" s="57"/>
      <c r="D33" s="57"/>
      <c r="E33" s="57"/>
      <c r="F33" s="41"/>
      <c r="G33" s="5"/>
      <c r="H33" s="5"/>
      <c r="I33" s="5"/>
      <c r="J33" s="5"/>
      <c r="K33" s="5"/>
      <c r="L33" s="5"/>
      <c r="M33" s="5"/>
      <c r="N33" s="5"/>
      <c r="O33" s="5"/>
    </row>
    <row r="34" spans="1:15" ht="15.75" x14ac:dyDescent="0.25">
      <c r="A34" s="60" t="s">
        <v>127</v>
      </c>
      <c r="B34" s="60"/>
      <c r="C34" s="60"/>
      <c r="D34" s="60"/>
      <c r="E34" s="60"/>
      <c r="F34" s="41"/>
      <c r="G34" s="5"/>
      <c r="H34" s="5"/>
      <c r="I34" s="5"/>
      <c r="J34" s="5"/>
      <c r="K34" s="5"/>
      <c r="L34" s="5"/>
      <c r="M34" s="5"/>
      <c r="N34" s="5"/>
      <c r="O34" s="5"/>
    </row>
    <row r="35" spans="1:15" ht="15.75" x14ac:dyDescent="0.25">
      <c r="A35" s="55" t="s">
        <v>128</v>
      </c>
      <c r="B35" s="55"/>
      <c r="C35" s="55"/>
      <c r="D35" s="55"/>
      <c r="E35" s="55"/>
      <c r="F35" s="55"/>
      <c r="G35" s="55"/>
      <c r="H35" s="5"/>
      <c r="I35" s="5"/>
      <c r="J35" s="5"/>
      <c r="K35" s="5"/>
      <c r="L35" s="5"/>
      <c r="M35" s="5"/>
      <c r="N35" s="5"/>
      <c r="O35" s="5"/>
    </row>
    <row r="36" spans="1:15" x14ac:dyDescent="0.25">
      <c r="A36" s="5"/>
      <c r="B36" s="5"/>
      <c r="C36" s="5"/>
      <c r="D36" s="5"/>
      <c r="E36" s="5"/>
      <c r="F36" s="5"/>
      <c r="G36" s="41"/>
      <c r="H36" s="41"/>
      <c r="I36" s="41"/>
      <c r="J36" s="41"/>
      <c r="K36" s="5"/>
      <c r="L36" s="5"/>
      <c r="M36" s="5"/>
      <c r="N36" s="5"/>
      <c r="O36" s="5"/>
    </row>
    <row r="37" spans="1:15" hidden="1" x14ac:dyDescent="0.25">
      <c r="A37" s="5"/>
      <c r="B37" s="5"/>
      <c r="C37" s="5"/>
      <c r="D37" s="5"/>
      <c r="E37" s="5"/>
      <c r="F37" s="5"/>
      <c r="G37" s="41"/>
      <c r="H37" s="41"/>
      <c r="I37" s="41"/>
      <c r="J37" s="41"/>
      <c r="K37" s="5"/>
      <c r="L37" s="5"/>
      <c r="M37" s="5"/>
      <c r="N37" s="5"/>
      <c r="O37" s="5"/>
    </row>
    <row r="38" spans="1:15" hidden="1" x14ac:dyDescent="0.25">
      <c r="A38" s="5"/>
      <c r="B38" s="5"/>
      <c r="C38" s="5"/>
      <c r="D38" s="5"/>
      <c r="E38" s="5"/>
      <c r="F38" s="5"/>
      <c r="G38" s="41"/>
      <c r="H38" s="41"/>
      <c r="I38" s="41"/>
      <c r="J38" s="41"/>
      <c r="K38" s="5"/>
      <c r="L38" s="5"/>
      <c r="M38" s="5"/>
      <c r="N38" s="5"/>
      <c r="O38" s="5"/>
    </row>
    <row r="39" spans="1:15" ht="15" customHeight="1" x14ac:dyDescent="0.25">
      <c r="A39" s="56" t="s">
        <v>130</v>
      </c>
      <c r="B39" s="56"/>
      <c r="C39" s="56"/>
      <c r="D39" s="56"/>
      <c r="E39" s="56"/>
      <c r="F39" s="56"/>
      <c r="G39" s="56"/>
      <c r="H39" s="56"/>
      <c r="I39" s="56"/>
      <c r="J39" s="56"/>
      <c r="K39" s="56"/>
      <c r="L39" s="56"/>
      <c r="M39" s="56"/>
      <c r="N39" s="56"/>
      <c r="O39" s="56"/>
    </row>
    <row r="40" spans="1:15" ht="9" customHeight="1" x14ac:dyDescent="0.25"/>
  </sheetData>
  <mergeCells count="6">
    <mergeCell ref="A35:G35"/>
    <mergeCell ref="A39:O39"/>
    <mergeCell ref="A33:E33"/>
    <mergeCell ref="A1:N1"/>
    <mergeCell ref="A3:N3"/>
    <mergeCell ref="A34:E3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E4B9-99D8-40B1-A9E5-77A712FAF037}">
  <dimension ref="A1:I70"/>
  <sheetViews>
    <sheetView workbookViewId="0"/>
  </sheetViews>
  <sheetFormatPr defaultRowHeight="15" x14ac:dyDescent="0.25"/>
  <cols>
    <col min="1" max="1" width="14" bestFit="1" customWidth="1"/>
    <col min="2" max="2" width="15.85546875" bestFit="1" customWidth="1"/>
    <col min="3" max="3" width="13.140625" bestFit="1" customWidth="1"/>
    <col min="4" max="4" width="13.7109375" bestFit="1" customWidth="1"/>
    <col min="5" max="5" width="16.42578125" bestFit="1" customWidth="1"/>
    <col min="6" max="6" width="14.42578125" bestFit="1" customWidth="1"/>
    <col min="7" max="7" width="15" bestFit="1" customWidth="1"/>
    <col min="8" max="8" width="17.42578125" bestFit="1" customWidth="1"/>
    <col min="9" max="9" width="18.28515625" bestFit="1" customWidth="1"/>
  </cols>
  <sheetData>
    <row r="1" spans="1:9" x14ac:dyDescent="0.25">
      <c r="A1" t="s">
        <v>74</v>
      </c>
      <c r="B1" t="s">
        <v>12</v>
      </c>
      <c r="C1" t="s">
        <v>0</v>
      </c>
      <c r="D1" t="s">
        <v>75</v>
      </c>
      <c r="E1" t="s">
        <v>8</v>
      </c>
      <c r="F1" t="s">
        <v>76</v>
      </c>
      <c r="G1" t="s">
        <v>77</v>
      </c>
      <c r="H1" t="s">
        <v>78</v>
      </c>
      <c r="I1" t="s">
        <v>79</v>
      </c>
    </row>
    <row r="2" spans="1:9" x14ac:dyDescent="0.25">
      <c r="A2" s="1">
        <v>44927</v>
      </c>
      <c r="B2" t="s">
        <v>20</v>
      </c>
      <c r="C2">
        <v>46</v>
      </c>
      <c r="D2">
        <v>11</v>
      </c>
      <c r="E2">
        <v>23.91</v>
      </c>
      <c r="F2">
        <v>2153.6499999999996</v>
      </c>
      <c r="G2">
        <v>1041.8499999999999</v>
      </c>
    </row>
    <row r="3" spans="1:9" x14ac:dyDescent="0.25">
      <c r="A3" s="1">
        <v>44927</v>
      </c>
      <c r="B3" t="s">
        <v>19</v>
      </c>
      <c r="C3">
        <v>46</v>
      </c>
      <c r="D3">
        <v>15</v>
      </c>
      <c r="E3">
        <v>32.61</v>
      </c>
      <c r="F3">
        <v>4180.28</v>
      </c>
      <c r="G3">
        <v>2099.2000000000003</v>
      </c>
    </row>
    <row r="4" spans="1:9" x14ac:dyDescent="0.25">
      <c r="A4" s="1">
        <v>44927</v>
      </c>
      <c r="B4" t="s">
        <v>15</v>
      </c>
      <c r="C4">
        <v>80</v>
      </c>
      <c r="D4">
        <v>22</v>
      </c>
      <c r="E4">
        <v>27.5</v>
      </c>
      <c r="F4">
        <v>5175.6900000000032</v>
      </c>
      <c r="G4">
        <v>1381.61</v>
      </c>
    </row>
    <row r="5" spans="1:9" x14ac:dyDescent="0.25">
      <c r="A5" s="1">
        <v>44958</v>
      </c>
      <c r="B5" t="s">
        <v>20</v>
      </c>
      <c r="C5">
        <v>77</v>
      </c>
      <c r="D5">
        <v>23</v>
      </c>
      <c r="E5">
        <v>29.87</v>
      </c>
      <c r="F5">
        <v>5936.6399999999994</v>
      </c>
      <c r="G5">
        <v>2343.77</v>
      </c>
      <c r="I5">
        <v>24.926808866583027</v>
      </c>
    </row>
    <row r="6" spans="1:9" x14ac:dyDescent="0.25">
      <c r="A6" s="1">
        <v>44958</v>
      </c>
      <c r="B6" t="s">
        <v>19</v>
      </c>
      <c r="C6">
        <v>157</v>
      </c>
      <c r="D6">
        <v>43</v>
      </c>
      <c r="E6">
        <v>27.39</v>
      </c>
      <c r="F6">
        <v>11126.950000000003</v>
      </c>
      <c r="G6">
        <v>4269.6900000000005</v>
      </c>
      <c r="I6">
        <v>-16.007359705611769</v>
      </c>
    </row>
    <row r="7" spans="1:9" x14ac:dyDescent="0.25">
      <c r="A7" s="1">
        <v>44958</v>
      </c>
      <c r="B7" t="s">
        <v>15</v>
      </c>
      <c r="C7">
        <v>216</v>
      </c>
      <c r="D7">
        <v>75</v>
      </c>
      <c r="E7">
        <v>34.72</v>
      </c>
      <c r="F7">
        <v>16045.649999999994</v>
      </c>
      <c r="G7">
        <v>9268.0700000000015</v>
      </c>
      <c r="I7">
        <v>26.254545454545443</v>
      </c>
    </row>
    <row r="8" spans="1:9" x14ac:dyDescent="0.25">
      <c r="A8" s="1">
        <v>44986</v>
      </c>
      <c r="B8" t="s">
        <v>20</v>
      </c>
      <c r="C8">
        <v>109</v>
      </c>
      <c r="D8">
        <v>28</v>
      </c>
      <c r="E8">
        <v>25.69</v>
      </c>
      <c r="F8">
        <v>8390.1700000000019</v>
      </c>
      <c r="G8">
        <v>3462.3799999999997</v>
      </c>
      <c r="H8">
        <v>26.49</v>
      </c>
      <c r="I8">
        <v>-13.99397388684298</v>
      </c>
    </row>
    <row r="9" spans="1:9" x14ac:dyDescent="0.25">
      <c r="A9" s="1">
        <v>44986</v>
      </c>
      <c r="B9" t="s">
        <v>19</v>
      </c>
      <c r="C9">
        <v>175</v>
      </c>
      <c r="D9">
        <v>50</v>
      </c>
      <c r="E9">
        <v>28.57</v>
      </c>
      <c r="F9">
        <v>13141.720000000001</v>
      </c>
      <c r="G9">
        <v>5687.9199999999983</v>
      </c>
      <c r="H9">
        <v>29.52333333333333</v>
      </c>
      <c r="I9">
        <v>4.308141657539255</v>
      </c>
    </row>
    <row r="10" spans="1:9" x14ac:dyDescent="0.25">
      <c r="A10" s="1">
        <v>44986</v>
      </c>
      <c r="B10" t="s">
        <v>15</v>
      </c>
      <c r="C10">
        <v>249</v>
      </c>
      <c r="D10">
        <v>67</v>
      </c>
      <c r="E10">
        <v>26.91</v>
      </c>
      <c r="F10">
        <v>13944.289999999997</v>
      </c>
      <c r="G10">
        <v>6116.6599999999989</v>
      </c>
      <c r="H10">
        <v>29.709999999999997</v>
      </c>
      <c r="I10">
        <v>-22.494239631336399</v>
      </c>
    </row>
    <row r="11" spans="1:9" x14ac:dyDescent="0.25">
      <c r="A11" s="1">
        <v>45017</v>
      </c>
      <c r="B11" t="s">
        <v>20</v>
      </c>
      <c r="C11">
        <v>101</v>
      </c>
      <c r="D11">
        <v>24</v>
      </c>
      <c r="E11">
        <v>23.76</v>
      </c>
      <c r="F11">
        <v>5127.3100000000004</v>
      </c>
      <c r="G11">
        <v>2467.4499999999998</v>
      </c>
      <c r="H11">
        <v>26.44</v>
      </c>
      <c r="I11">
        <v>-7.5126508369015133</v>
      </c>
    </row>
    <row r="12" spans="1:9" x14ac:dyDescent="0.25">
      <c r="A12" s="1">
        <v>45017</v>
      </c>
      <c r="B12" t="s">
        <v>19</v>
      </c>
      <c r="C12">
        <v>178</v>
      </c>
      <c r="D12">
        <v>53</v>
      </c>
      <c r="E12">
        <v>29.78</v>
      </c>
      <c r="F12">
        <v>10660.850000000002</v>
      </c>
      <c r="G12">
        <v>5903.4299999999967</v>
      </c>
      <c r="H12">
        <v>28.580000000000002</v>
      </c>
      <c r="I12">
        <v>4.2352117605880313</v>
      </c>
    </row>
    <row r="13" spans="1:9" x14ac:dyDescent="0.25">
      <c r="A13" s="1">
        <v>45017</v>
      </c>
      <c r="B13" t="s">
        <v>15</v>
      </c>
      <c r="C13">
        <v>230</v>
      </c>
      <c r="D13">
        <v>84</v>
      </c>
      <c r="E13">
        <v>36.520000000000003</v>
      </c>
      <c r="F13">
        <v>15976.459999999994</v>
      </c>
      <c r="G13">
        <v>9697.6299999999956</v>
      </c>
      <c r="H13">
        <v>32.716666666666669</v>
      </c>
      <c r="I13">
        <v>35.711631363805282</v>
      </c>
    </row>
    <row r="14" spans="1:9" x14ac:dyDescent="0.25">
      <c r="A14" s="1">
        <v>45047</v>
      </c>
      <c r="B14" t="s">
        <v>20</v>
      </c>
      <c r="C14">
        <v>114</v>
      </c>
      <c r="D14">
        <v>22</v>
      </c>
      <c r="E14">
        <v>19.3</v>
      </c>
      <c r="F14">
        <v>8860.9900000000034</v>
      </c>
      <c r="G14">
        <v>3539.1300000000006</v>
      </c>
      <c r="H14">
        <v>22.916666666666668</v>
      </c>
      <c r="I14">
        <v>-18.771043771043772</v>
      </c>
    </row>
    <row r="15" spans="1:9" x14ac:dyDescent="0.25">
      <c r="A15" s="1">
        <v>45047</v>
      </c>
      <c r="B15" t="s">
        <v>19</v>
      </c>
      <c r="C15">
        <v>197</v>
      </c>
      <c r="D15">
        <v>63</v>
      </c>
      <c r="E15">
        <v>31.98</v>
      </c>
      <c r="F15">
        <v>11340.080000000011</v>
      </c>
      <c r="G15">
        <v>6862.35</v>
      </c>
      <c r="H15">
        <v>30.11</v>
      </c>
      <c r="I15">
        <v>7.3875083948959031</v>
      </c>
    </row>
    <row r="16" spans="1:9" x14ac:dyDescent="0.25">
      <c r="A16" s="1">
        <v>45047</v>
      </c>
      <c r="B16" t="s">
        <v>15</v>
      </c>
      <c r="C16">
        <v>222</v>
      </c>
      <c r="D16">
        <v>72</v>
      </c>
      <c r="E16">
        <v>32.43</v>
      </c>
      <c r="F16">
        <v>14801.379999999997</v>
      </c>
      <c r="G16">
        <v>7050.9100000000008</v>
      </c>
      <c r="H16">
        <v>31.953333333333337</v>
      </c>
      <c r="I16">
        <v>-11.199342825848857</v>
      </c>
    </row>
    <row r="17" spans="1:9" x14ac:dyDescent="0.25">
      <c r="A17" s="1">
        <v>45078</v>
      </c>
      <c r="B17" t="s">
        <v>20</v>
      </c>
      <c r="C17">
        <v>100</v>
      </c>
      <c r="D17">
        <v>19</v>
      </c>
      <c r="E17">
        <v>19</v>
      </c>
      <c r="F17">
        <v>6698.1200000000026</v>
      </c>
      <c r="G17">
        <v>2012.3400000000001</v>
      </c>
      <c r="H17">
        <v>20.686666666666667</v>
      </c>
      <c r="I17">
        <v>-1.5544041450777257</v>
      </c>
    </row>
    <row r="18" spans="1:9" x14ac:dyDescent="0.25">
      <c r="A18" s="1">
        <v>45078</v>
      </c>
      <c r="B18" t="s">
        <v>19</v>
      </c>
      <c r="C18">
        <v>180</v>
      </c>
      <c r="D18">
        <v>61</v>
      </c>
      <c r="E18">
        <v>33.89</v>
      </c>
      <c r="F18">
        <v>12878.599999999988</v>
      </c>
      <c r="G18">
        <v>8190.7599999999984</v>
      </c>
      <c r="H18">
        <v>31.883333333333336</v>
      </c>
      <c r="I18">
        <v>5.9724828017510889</v>
      </c>
    </row>
    <row r="19" spans="1:9" x14ac:dyDescent="0.25">
      <c r="A19" s="1">
        <v>45078</v>
      </c>
      <c r="B19" t="s">
        <v>15</v>
      </c>
      <c r="C19">
        <v>250</v>
      </c>
      <c r="D19">
        <v>71</v>
      </c>
      <c r="E19">
        <v>28.4</v>
      </c>
      <c r="F19">
        <v>14814.879999999997</v>
      </c>
      <c r="G19">
        <v>7531.6199999999972</v>
      </c>
      <c r="H19">
        <v>32.450000000000003</v>
      </c>
      <c r="I19">
        <v>-12.426765340733892</v>
      </c>
    </row>
    <row r="20" spans="1:9" x14ac:dyDescent="0.25">
      <c r="A20" s="1">
        <v>45108</v>
      </c>
      <c r="B20" t="s">
        <v>20</v>
      </c>
      <c r="C20">
        <v>110</v>
      </c>
      <c r="D20">
        <v>30</v>
      </c>
      <c r="E20">
        <v>27.27</v>
      </c>
      <c r="F20">
        <v>5864.32</v>
      </c>
      <c r="G20">
        <v>2386.0700000000002</v>
      </c>
      <c r="H20">
        <v>21.856666666666666</v>
      </c>
      <c r="I20">
        <v>43.526315789473678</v>
      </c>
    </row>
    <row r="21" spans="1:9" x14ac:dyDescent="0.25">
      <c r="A21" s="1">
        <v>45108</v>
      </c>
      <c r="B21" t="s">
        <v>19</v>
      </c>
      <c r="C21">
        <v>181</v>
      </c>
      <c r="D21">
        <v>60</v>
      </c>
      <c r="E21">
        <v>33.15</v>
      </c>
      <c r="F21">
        <v>16836.809999999998</v>
      </c>
      <c r="G21">
        <v>9134.3800000000028</v>
      </c>
      <c r="H21">
        <v>33.006666666666668</v>
      </c>
      <c r="I21">
        <v>-2.1835349660666914</v>
      </c>
    </row>
    <row r="22" spans="1:9" x14ac:dyDescent="0.25">
      <c r="A22" s="1">
        <v>45108</v>
      </c>
      <c r="B22" t="s">
        <v>15</v>
      </c>
      <c r="C22">
        <v>249</v>
      </c>
      <c r="D22">
        <v>78</v>
      </c>
      <c r="E22">
        <v>31.33</v>
      </c>
      <c r="F22">
        <v>15116.39</v>
      </c>
      <c r="G22">
        <v>8105.949999999998</v>
      </c>
      <c r="H22">
        <v>30.72</v>
      </c>
      <c r="I22">
        <v>10.316901408450697</v>
      </c>
    </row>
    <row r="23" spans="1:9" x14ac:dyDescent="0.25">
      <c r="A23" s="1">
        <v>45139</v>
      </c>
      <c r="B23" t="s">
        <v>20</v>
      </c>
      <c r="C23">
        <v>108</v>
      </c>
      <c r="D23">
        <v>19</v>
      </c>
      <c r="E23">
        <v>17.59</v>
      </c>
      <c r="F23">
        <v>4254.88</v>
      </c>
      <c r="G23">
        <v>1637.8600000000001</v>
      </c>
      <c r="H23">
        <v>21.286666666666665</v>
      </c>
      <c r="I23">
        <v>-35.496883021635497</v>
      </c>
    </row>
    <row r="24" spans="1:9" x14ac:dyDescent="0.25">
      <c r="A24" s="1">
        <v>45139</v>
      </c>
      <c r="B24" t="s">
        <v>19</v>
      </c>
      <c r="C24">
        <v>184</v>
      </c>
      <c r="D24">
        <v>55</v>
      </c>
      <c r="E24">
        <v>29.89</v>
      </c>
      <c r="F24">
        <v>10991.420000000004</v>
      </c>
      <c r="G24">
        <v>5431.68</v>
      </c>
      <c r="H24">
        <v>32.309999999999995</v>
      </c>
      <c r="I24">
        <v>-9.8340874811463035</v>
      </c>
    </row>
    <row r="25" spans="1:9" x14ac:dyDescent="0.25">
      <c r="A25" s="1">
        <v>45139</v>
      </c>
      <c r="B25" t="s">
        <v>15</v>
      </c>
      <c r="C25">
        <v>217</v>
      </c>
      <c r="D25">
        <v>68</v>
      </c>
      <c r="E25">
        <v>31.34</v>
      </c>
      <c r="F25">
        <v>15511.230000000014</v>
      </c>
      <c r="G25">
        <v>8569.1400000000012</v>
      </c>
      <c r="H25">
        <v>30.356666666666666</v>
      </c>
      <c r="I25">
        <v>3.1918289179699855E-2</v>
      </c>
    </row>
    <row r="26" spans="1:9" x14ac:dyDescent="0.25">
      <c r="A26" s="1">
        <v>45170</v>
      </c>
      <c r="B26" t="s">
        <v>20</v>
      </c>
      <c r="C26">
        <v>92</v>
      </c>
      <c r="D26">
        <v>14</v>
      </c>
      <c r="E26">
        <v>15.22</v>
      </c>
      <c r="F26">
        <v>6177.3300000000008</v>
      </c>
      <c r="G26">
        <v>2336.9900000000002</v>
      </c>
      <c r="H26">
        <v>20.026666666666667</v>
      </c>
      <c r="I26">
        <v>-13.473564525298464</v>
      </c>
    </row>
    <row r="27" spans="1:9" x14ac:dyDescent="0.25">
      <c r="A27" s="1">
        <v>45170</v>
      </c>
      <c r="B27" t="s">
        <v>19</v>
      </c>
      <c r="C27">
        <v>195</v>
      </c>
      <c r="D27">
        <v>64</v>
      </c>
      <c r="E27">
        <v>32.82</v>
      </c>
      <c r="F27">
        <v>12520.060000000001</v>
      </c>
      <c r="G27">
        <v>5204.670000000001</v>
      </c>
      <c r="H27">
        <v>31.95333333333333</v>
      </c>
      <c r="I27">
        <v>9.8026095684175196</v>
      </c>
    </row>
    <row r="28" spans="1:9" x14ac:dyDescent="0.25">
      <c r="A28" s="1">
        <v>45170</v>
      </c>
      <c r="B28" t="s">
        <v>15</v>
      </c>
      <c r="C28">
        <v>206</v>
      </c>
      <c r="D28">
        <v>54</v>
      </c>
      <c r="E28">
        <v>26.21</v>
      </c>
      <c r="F28">
        <v>13172.499999999998</v>
      </c>
      <c r="G28">
        <v>5956.19</v>
      </c>
      <c r="H28">
        <v>29.626666666666665</v>
      </c>
      <c r="I28">
        <v>-16.368857689853222</v>
      </c>
    </row>
    <row r="29" spans="1:9" x14ac:dyDescent="0.25">
      <c r="A29" s="1">
        <v>45200</v>
      </c>
      <c r="B29" t="s">
        <v>20</v>
      </c>
      <c r="C29">
        <v>110</v>
      </c>
      <c r="D29">
        <v>22</v>
      </c>
      <c r="E29">
        <v>20</v>
      </c>
      <c r="F29">
        <v>5967.03</v>
      </c>
      <c r="G29">
        <v>2543.1099999999997</v>
      </c>
      <c r="H29">
        <v>17.603333333333335</v>
      </c>
      <c r="I29">
        <v>31.406044678055189</v>
      </c>
    </row>
    <row r="30" spans="1:9" x14ac:dyDescent="0.25">
      <c r="A30" s="1">
        <v>45200</v>
      </c>
      <c r="B30" t="s">
        <v>19</v>
      </c>
      <c r="C30">
        <v>188</v>
      </c>
      <c r="D30">
        <v>63</v>
      </c>
      <c r="E30">
        <v>33.51</v>
      </c>
      <c r="F30">
        <v>12551.759999999991</v>
      </c>
      <c r="G30">
        <v>5900.86</v>
      </c>
      <c r="H30">
        <v>32.073333333333331</v>
      </c>
      <c r="I30">
        <v>2.1023765996343702</v>
      </c>
    </row>
    <row r="31" spans="1:9" x14ac:dyDescent="0.25">
      <c r="A31" s="1">
        <v>45200</v>
      </c>
      <c r="B31" t="s">
        <v>15</v>
      </c>
      <c r="C31">
        <v>243</v>
      </c>
      <c r="D31">
        <v>61</v>
      </c>
      <c r="E31">
        <v>25.1</v>
      </c>
      <c r="F31">
        <v>17964.16</v>
      </c>
      <c r="G31">
        <v>8876.6200000000008</v>
      </c>
      <c r="H31">
        <v>27.55</v>
      </c>
      <c r="I31">
        <v>-4.2350247996947754</v>
      </c>
    </row>
    <row r="32" spans="1:9" x14ac:dyDescent="0.25">
      <c r="A32" s="1">
        <v>45231</v>
      </c>
      <c r="B32" t="s">
        <v>20</v>
      </c>
      <c r="C32">
        <v>131</v>
      </c>
      <c r="D32">
        <v>23</v>
      </c>
      <c r="E32">
        <v>17.559999999999999</v>
      </c>
      <c r="F32">
        <v>8995.6799999999985</v>
      </c>
      <c r="G32">
        <v>2704.56</v>
      </c>
      <c r="H32">
        <v>17.593333333333334</v>
      </c>
      <c r="I32">
        <v>-12.20000000000001</v>
      </c>
    </row>
    <row r="33" spans="1:9" x14ac:dyDescent="0.25">
      <c r="A33" s="1">
        <v>45231</v>
      </c>
      <c r="B33" t="s">
        <v>19</v>
      </c>
      <c r="C33">
        <v>175</v>
      </c>
      <c r="D33">
        <v>49</v>
      </c>
      <c r="E33">
        <v>28</v>
      </c>
      <c r="F33">
        <v>9527.1600000000017</v>
      </c>
      <c r="G33">
        <v>3602.9800000000005</v>
      </c>
      <c r="H33">
        <v>31.443333333333328</v>
      </c>
      <c r="I33">
        <v>-16.442852879737391</v>
      </c>
    </row>
    <row r="34" spans="1:9" x14ac:dyDescent="0.25">
      <c r="A34" s="1">
        <v>45231</v>
      </c>
      <c r="B34" t="s">
        <v>15</v>
      </c>
      <c r="C34">
        <v>242</v>
      </c>
      <c r="D34">
        <v>72</v>
      </c>
      <c r="E34">
        <v>29.75</v>
      </c>
      <c r="F34">
        <v>17556.469999999998</v>
      </c>
      <c r="G34">
        <v>7741.55</v>
      </c>
      <c r="H34">
        <v>27.02</v>
      </c>
      <c r="I34">
        <v>18.525896414342611</v>
      </c>
    </row>
    <row r="35" spans="1:9" x14ac:dyDescent="0.25">
      <c r="A35" s="1">
        <v>45261</v>
      </c>
      <c r="B35" t="s">
        <v>20</v>
      </c>
      <c r="C35">
        <v>116</v>
      </c>
      <c r="D35">
        <v>25</v>
      </c>
      <c r="E35">
        <v>21.55</v>
      </c>
      <c r="F35">
        <v>6676.2900000000009</v>
      </c>
      <c r="G35">
        <v>2252.04</v>
      </c>
      <c r="H35">
        <v>19.703333333333333</v>
      </c>
      <c r="I35">
        <v>22.72209567198178</v>
      </c>
    </row>
    <row r="36" spans="1:9" x14ac:dyDescent="0.25">
      <c r="A36" s="1">
        <v>45261</v>
      </c>
      <c r="B36" t="s">
        <v>19</v>
      </c>
      <c r="C36">
        <v>169</v>
      </c>
      <c r="D36">
        <v>55</v>
      </c>
      <c r="E36">
        <v>32.54</v>
      </c>
      <c r="F36">
        <v>12514.019999999999</v>
      </c>
      <c r="G36">
        <v>7182.050000000002</v>
      </c>
      <c r="H36">
        <v>31.349999999999994</v>
      </c>
      <c r="I36">
        <v>16.214285714285715</v>
      </c>
    </row>
    <row r="37" spans="1:9" x14ac:dyDescent="0.25">
      <c r="A37" s="1">
        <v>45261</v>
      </c>
      <c r="B37" t="s">
        <v>15</v>
      </c>
      <c r="C37">
        <v>218</v>
      </c>
      <c r="D37">
        <v>69</v>
      </c>
      <c r="E37">
        <v>31.65</v>
      </c>
      <c r="F37">
        <v>16039.819999999994</v>
      </c>
      <c r="G37">
        <v>8365.64</v>
      </c>
      <c r="H37">
        <v>28.833333333333332</v>
      </c>
      <c r="I37">
        <v>6.386554621848739</v>
      </c>
    </row>
    <row r="38" spans="1:9" x14ac:dyDescent="0.25">
      <c r="A38" s="1">
        <v>45292</v>
      </c>
      <c r="B38" t="s">
        <v>20</v>
      </c>
      <c r="C38">
        <v>107</v>
      </c>
      <c r="D38">
        <v>29</v>
      </c>
      <c r="E38">
        <v>27.1</v>
      </c>
      <c r="F38">
        <v>6328.07</v>
      </c>
      <c r="G38">
        <v>3222.9100000000003</v>
      </c>
      <c r="H38">
        <v>22.070000000000004</v>
      </c>
      <c r="I38">
        <v>25.754060324825989</v>
      </c>
    </row>
    <row r="39" spans="1:9" x14ac:dyDescent="0.25">
      <c r="A39" s="1">
        <v>45292</v>
      </c>
      <c r="B39" t="s">
        <v>19</v>
      </c>
      <c r="C39">
        <v>162</v>
      </c>
      <c r="D39">
        <v>49</v>
      </c>
      <c r="E39">
        <v>30.25</v>
      </c>
      <c r="F39">
        <v>15125.650000000001</v>
      </c>
      <c r="G39">
        <v>10332.450000000003</v>
      </c>
      <c r="H39">
        <v>30.263333333333332</v>
      </c>
      <c r="I39">
        <v>-7.0374923171481196</v>
      </c>
    </row>
    <row r="40" spans="1:9" x14ac:dyDescent="0.25">
      <c r="A40" s="1">
        <v>45292</v>
      </c>
      <c r="B40" t="s">
        <v>15</v>
      </c>
      <c r="C40">
        <v>238</v>
      </c>
      <c r="D40">
        <v>74</v>
      </c>
      <c r="E40">
        <v>31.09</v>
      </c>
      <c r="F40">
        <v>15170.729999999996</v>
      </c>
      <c r="G40">
        <v>7678.010000000002</v>
      </c>
      <c r="H40">
        <v>30.83</v>
      </c>
      <c r="I40">
        <v>-1.7693522906793047</v>
      </c>
    </row>
    <row r="41" spans="1:9" x14ac:dyDescent="0.25">
      <c r="A41" s="1">
        <v>45323</v>
      </c>
      <c r="B41" t="s">
        <v>20</v>
      </c>
      <c r="C41">
        <v>99</v>
      </c>
      <c r="D41">
        <v>24</v>
      </c>
      <c r="E41">
        <v>24.24</v>
      </c>
      <c r="F41">
        <v>5845.6799999999985</v>
      </c>
      <c r="G41">
        <v>2390.0899999999997</v>
      </c>
      <c r="H41">
        <v>24.296666666666667</v>
      </c>
      <c r="I41">
        <v>-10.553505535055363</v>
      </c>
    </row>
    <row r="42" spans="1:9" x14ac:dyDescent="0.25">
      <c r="A42" s="1">
        <v>45323</v>
      </c>
      <c r="B42" t="s">
        <v>19</v>
      </c>
      <c r="C42">
        <v>174</v>
      </c>
      <c r="D42">
        <v>48</v>
      </c>
      <c r="E42">
        <v>27.59</v>
      </c>
      <c r="F42">
        <v>11440.439999999999</v>
      </c>
      <c r="G42">
        <v>3999.0299999999997</v>
      </c>
      <c r="H42">
        <v>30.126666666666665</v>
      </c>
      <c r="I42">
        <v>-8.7933884297520688</v>
      </c>
    </row>
    <row r="43" spans="1:9" x14ac:dyDescent="0.25">
      <c r="A43" s="1">
        <v>45323</v>
      </c>
      <c r="B43" t="s">
        <v>15</v>
      </c>
      <c r="C43">
        <v>235</v>
      </c>
      <c r="D43">
        <v>75</v>
      </c>
      <c r="E43">
        <v>31.91</v>
      </c>
      <c r="F43">
        <v>17057.96000000001</v>
      </c>
      <c r="G43">
        <v>9598.2300000000014</v>
      </c>
      <c r="H43">
        <v>31.549999999999997</v>
      </c>
      <c r="I43">
        <v>2.6375040205854017</v>
      </c>
    </row>
    <row r="44" spans="1:9" x14ac:dyDescent="0.25">
      <c r="A44" s="1">
        <v>45352</v>
      </c>
      <c r="B44" t="s">
        <v>20</v>
      </c>
      <c r="C44">
        <v>110</v>
      </c>
      <c r="D44">
        <v>25</v>
      </c>
      <c r="E44">
        <v>22.73</v>
      </c>
      <c r="F44">
        <v>5684.9799999999987</v>
      </c>
      <c r="G44">
        <v>2554.5099999999993</v>
      </c>
      <c r="H44">
        <v>24.689999999999998</v>
      </c>
      <c r="I44">
        <v>-6.2293729372937197</v>
      </c>
    </row>
    <row r="45" spans="1:9" x14ac:dyDescent="0.25">
      <c r="A45" s="1">
        <v>45352</v>
      </c>
      <c r="B45" t="s">
        <v>19</v>
      </c>
      <c r="C45">
        <v>185</v>
      </c>
      <c r="D45">
        <v>50</v>
      </c>
      <c r="E45">
        <v>27.03</v>
      </c>
      <c r="F45">
        <v>8278.1699999999983</v>
      </c>
      <c r="G45">
        <v>3466.6899999999996</v>
      </c>
      <c r="H45">
        <v>28.289999999999996</v>
      </c>
      <c r="I45">
        <v>-2.029720913374411</v>
      </c>
    </row>
    <row r="46" spans="1:9" x14ac:dyDescent="0.25">
      <c r="A46" s="1">
        <v>45352</v>
      </c>
      <c r="B46" t="s">
        <v>15</v>
      </c>
      <c r="C46">
        <v>256</v>
      </c>
      <c r="D46">
        <v>88</v>
      </c>
      <c r="E46">
        <v>34.380000000000003</v>
      </c>
      <c r="F46">
        <v>18084.21999999999</v>
      </c>
      <c r="G46">
        <v>10484.720000000001</v>
      </c>
      <c r="H46">
        <v>32.46</v>
      </c>
      <c r="I46">
        <v>7.7405202130993445</v>
      </c>
    </row>
    <row r="47" spans="1:9" x14ac:dyDescent="0.25">
      <c r="A47" s="1">
        <v>45383</v>
      </c>
      <c r="B47" t="s">
        <v>20</v>
      </c>
      <c r="C47">
        <v>105</v>
      </c>
      <c r="D47">
        <v>25</v>
      </c>
      <c r="E47">
        <v>23.81</v>
      </c>
      <c r="F47">
        <v>6291.4899999999989</v>
      </c>
      <c r="G47">
        <v>2313.36</v>
      </c>
      <c r="H47">
        <v>23.593333333333334</v>
      </c>
      <c r="I47">
        <v>4.7514298284205836</v>
      </c>
    </row>
    <row r="48" spans="1:9" x14ac:dyDescent="0.25">
      <c r="A48" s="1">
        <v>45383</v>
      </c>
      <c r="B48" t="s">
        <v>19</v>
      </c>
      <c r="C48">
        <v>162</v>
      </c>
      <c r="D48">
        <v>44</v>
      </c>
      <c r="E48">
        <v>27.16</v>
      </c>
      <c r="F48">
        <v>10429.140000000001</v>
      </c>
      <c r="G48">
        <v>3366.23</v>
      </c>
      <c r="H48">
        <v>27.26</v>
      </c>
      <c r="I48">
        <v>0.48094709581945061</v>
      </c>
    </row>
    <row r="49" spans="1:9" x14ac:dyDescent="0.25">
      <c r="A49" s="1">
        <v>45383</v>
      </c>
      <c r="B49" t="s">
        <v>15</v>
      </c>
      <c r="C49">
        <v>225</v>
      </c>
      <c r="D49">
        <v>70</v>
      </c>
      <c r="E49">
        <v>31.11</v>
      </c>
      <c r="F49">
        <v>14725.400000000001</v>
      </c>
      <c r="G49">
        <v>7790.85</v>
      </c>
      <c r="H49">
        <v>32.466666666666669</v>
      </c>
      <c r="I49">
        <v>-9.5113438045375318</v>
      </c>
    </row>
    <row r="50" spans="1:9" x14ac:dyDescent="0.25">
      <c r="A50" s="1">
        <v>45413</v>
      </c>
      <c r="B50" t="s">
        <v>20</v>
      </c>
      <c r="C50">
        <v>108</v>
      </c>
      <c r="D50">
        <v>19</v>
      </c>
      <c r="E50">
        <v>17.59</v>
      </c>
      <c r="F50">
        <v>10937.150000000001</v>
      </c>
      <c r="G50">
        <v>1995.79</v>
      </c>
      <c r="H50">
        <v>21.376666666666665</v>
      </c>
      <c r="I50">
        <v>-26.123477530449392</v>
      </c>
    </row>
    <row r="51" spans="1:9" x14ac:dyDescent="0.25">
      <c r="A51" s="1">
        <v>45413</v>
      </c>
      <c r="B51" t="s">
        <v>19</v>
      </c>
      <c r="C51">
        <v>202</v>
      </c>
      <c r="D51">
        <v>59</v>
      </c>
      <c r="E51">
        <v>29.21</v>
      </c>
      <c r="F51">
        <v>11130.97999999999</v>
      </c>
      <c r="G51">
        <v>6472.4100000000017</v>
      </c>
      <c r="H51">
        <v>27.799999999999997</v>
      </c>
      <c r="I51">
        <v>7.5478645066273886</v>
      </c>
    </row>
    <row r="52" spans="1:9" x14ac:dyDescent="0.25">
      <c r="A52" s="1">
        <v>45413</v>
      </c>
      <c r="B52" t="s">
        <v>15</v>
      </c>
      <c r="C52">
        <v>239</v>
      </c>
      <c r="D52">
        <v>80</v>
      </c>
      <c r="E52">
        <v>33.47</v>
      </c>
      <c r="F52">
        <v>19696.099999999999</v>
      </c>
      <c r="G52">
        <v>13128.250000000004</v>
      </c>
      <c r="H52">
        <v>32.986666666666672</v>
      </c>
      <c r="I52">
        <v>7.58598521375764</v>
      </c>
    </row>
    <row r="53" spans="1:9" x14ac:dyDescent="0.25">
      <c r="A53" s="1">
        <v>45444</v>
      </c>
      <c r="B53" t="s">
        <v>20</v>
      </c>
      <c r="C53">
        <v>103</v>
      </c>
      <c r="D53">
        <v>21</v>
      </c>
      <c r="E53">
        <v>20.39</v>
      </c>
      <c r="F53">
        <v>5147.7199999999993</v>
      </c>
      <c r="G53">
        <v>2094.09</v>
      </c>
      <c r="H53">
        <v>20.596666666666668</v>
      </c>
      <c r="I53">
        <v>15.918135304150095</v>
      </c>
    </row>
    <row r="54" spans="1:9" x14ac:dyDescent="0.25">
      <c r="A54" s="1">
        <v>45444</v>
      </c>
      <c r="B54" t="s">
        <v>19</v>
      </c>
      <c r="C54">
        <v>185</v>
      </c>
      <c r="D54">
        <v>49</v>
      </c>
      <c r="E54">
        <v>26.49</v>
      </c>
      <c r="F54">
        <v>12188.039999999994</v>
      </c>
      <c r="G54">
        <v>5040.9100000000008</v>
      </c>
      <c r="H54">
        <v>27.619999999999994</v>
      </c>
      <c r="I54">
        <v>-9.3118794933242164</v>
      </c>
    </row>
    <row r="55" spans="1:9" x14ac:dyDescent="0.25">
      <c r="A55" s="1">
        <v>45444</v>
      </c>
      <c r="B55" t="s">
        <v>15</v>
      </c>
      <c r="C55">
        <v>232</v>
      </c>
      <c r="D55">
        <v>74</v>
      </c>
      <c r="E55">
        <v>31.9</v>
      </c>
      <c r="F55">
        <v>16212.269999999997</v>
      </c>
      <c r="G55">
        <v>9576.5799999999963</v>
      </c>
      <c r="H55">
        <v>32.159999999999997</v>
      </c>
      <c r="I55">
        <v>-4.6907678518075873</v>
      </c>
    </row>
    <row r="56" spans="1:9" x14ac:dyDescent="0.25">
      <c r="A56" s="1">
        <v>45474</v>
      </c>
      <c r="B56" t="s">
        <v>20</v>
      </c>
      <c r="C56">
        <v>111</v>
      </c>
      <c r="D56">
        <v>26</v>
      </c>
      <c r="E56">
        <v>23.42</v>
      </c>
      <c r="F56">
        <v>5561.48</v>
      </c>
      <c r="G56">
        <v>2471.65</v>
      </c>
      <c r="H56">
        <v>20.466666666666669</v>
      </c>
      <c r="I56">
        <v>14.860225600784705</v>
      </c>
    </row>
    <row r="57" spans="1:9" x14ac:dyDescent="0.25">
      <c r="A57" s="1">
        <v>45474</v>
      </c>
      <c r="B57" t="s">
        <v>19</v>
      </c>
      <c r="C57">
        <v>159</v>
      </c>
      <c r="D57">
        <v>55</v>
      </c>
      <c r="E57">
        <v>34.590000000000003</v>
      </c>
      <c r="F57">
        <v>11460.089999999998</v>
      </c>
      <c r="G57">
        <v>6299.57</v>
      </c>
      <c r="H57">
        <v>30.096666666666664</v>
      </c>
      <c r="I57">
        <v>30.577576443941123</v>
      </c>
    </row>
    <row r="58" spans="1:9" x14ac:dyDescent="0.25">
      <c r="A58" s="1">
        <v>45474</v>
      </c>
      <c r="B58" t="s">
        <v>15</v>
      </c>
      <c r="C58">
        <v>255</v>
      </c>
      <c r="D58">
        <v>84</v>
      </c>
      <c r="E58">
        <v>32.94</v>
      </c>
      <c r="F58">
        <v>17092.140000000003</v>
      </c>
      <c r="G58">
        <v>8400.99</v>
      </c>
      <c r="H58">
        <v>32.770000000000003</v>
      </c>
      <c r="I58">
        <v>3.260188087774285</v>
      </c>
    </row>
    <row r="59" spans="1:9" x14ac:dyDescent="0.25">
      <c r="A59" s="1">
        <v>45505</v>
      </c>
      <c r="B59" t="s">
        <v>20</v>
      </c>
      <c r="C59">
        <v>93</v>
      </c>
      <c r="D59">
        <v>22</v>
      </c>
      <c r="E59">
        <v>23.66</v>
      </c>
      <c r="F59">
        <v>4041.0899999999988</v>
      </c>
      <c r="G59">
        <v>1888.3799999999999</v>
      </c>
      <c r="H59">
        <v>22.49</v>
      </c>
      <c r="I59">
        <v>1.0247651579846195</v>
      </c>
    </row>
    <row r="60" spans="1:9" x14ac:dyDescent="0.25">
      <c r="A60" s="1">
        <v>45505</v>
      </c>
      <c r="B60" t="s">
        <v>19</v>
      </c>
      <c r="C60">
        <v>214</v>
      </c>
      <c r="D60">
        <v>60</v>
      </c>
      <c r="E60">
        <v>28.04</v>
      </c>
      <c r="F60">
        <v>11249.329999999996</v>
      </c>
      <c r="G60">
        <v>5082.16</v>
      </c>
      <c r="H60">
        <v>29.706666666666663</v>
      </c>
      <c r="I60">
        <v>-18.93610870193698</v>
      </c>
    </row>
    <row r="61" spans="1:9" x14ac:dyDescent="0.25">
      <c r="A61" s="1">
        <v>45505</v>
      </c>
      <c r="B61" t="s">
        <v>15</v>
      </c>
      <c r="C61">
        <v>235</v>
      </c>
      <c r="D61">
        <v>74</v>
      </c>
      <c r="E61">
        <v>31.49</v>
      </c>
      <c r="F61">
        <v>15636.14</v>
      </c>
      <c r="G61">
        <v>6504.8700000000008</v>
      </c>
      <c r="H61">
        <v>32.11</v>
      </c>
      <c r="I61">
        <v>-4.4019429265330867</v>
      </c>
    </row>
    <row r="62" spans="1:9" x14ac:dyDescent="0.25">
      <c r="A62" s="1">
        <v>45536</v>
      </c>
      <c r="B62" t="s">
        <v>20</v>
      </c>
      <c r="C62">
        <v>123</v>
      </c>
      <c r="D62">
        <v>20</v>
      </c>
      <c r="E62">
        <v>16.260000000000002</v>
      </c>
      <c r="F62">
        <v>5968.3799999999992</v>
      </c>
      <c r="G62">
        <v>815.86000000000013</v>
      </c>
      <c r="H62">
        <v>21.113333333333333</v>
      </c>
      <c r="I62">
        <v>-31.276415891800504</v>
      </c>
    </row>
    <row r="63" spans="1:9" x14ac:dyDescent="0.25">
      <c r="A63" s="1">
        <v>45536</v>
      </c>
      <c r="B63" t="s">
        <v>19</v>
      </c>
      <c r="C63">
        <v>200</v>
      </c>
      <c r="D63">
        <v>52</v>
      </c>
      <c r="E63">
        <v>26</v>
      </c>
      <c r="F63">
        <v>14594.970000000003</v>
      </c>
      <c r="G63">
        <v>8063.7400000000016</v>
      </c>
      <c r="H63">
        <v>29.543333333333333</v>
      </c>
      <c r="I63">
        <v>-7.2753209700427979</v>
      </c>
    </row>
    <row r="64" spans="1:9" x14ac:dyDescent="0.25">
      <c r="A64" s="1">
        <v>45536</v>
      </c>
      <c r="B64" t="s">
        <v>15</v>
      </c>
      <c r="C64">
        <v>249</v>
      </c>
      <c r="D64">
        <v>75</v>
      </c>
      <c r="E64">
        <v>30.12</v>
      </c>
      <c r="F64">
        <v>13183.030000000008</v>
      </c>
      <c r="G64">
        <v>5899.0499999999993</v>
      </c>
      <c r="H64">
        <v>31.516666666666669</v>
      </c>
      <c r="I64">
        <v>-4.3505874880914508</v>
      </c>
    </row>
    <row r="65" spans="1:9" x14ac:dyDescent="0.25">
      <c r="A65" s="1">
        <v>45566</v>
      </c>
      <c r="B65" t="s">
        <v>20</v>
      </c>
      <c r="C65">
        <v>73</v>
      </c>
      <c r="D65">
        <v>15</v>
      </c>
      <c r="E65">
        <v>20.55</v>
      </c>
      <c r="F65">
        <v>4198.9799999999996</v>
      </c>
      <c r="G65">
        <v>1601.8299999999997</v>
      </c>
      <c r="H65">
        <v>20.156666666666666</v>
      </c>
      <c r="I65">
        <v>26.383763837638362</v>
      </c>
    </row>
    <row r="66" spans="1:9" x14ac:dyDescent="0.25">
      <c r="A66" s="1">
        <v>45566</v>
      </c>
      <c r="B66" t="s">
        <v>19</v>
      </c>
      <c r="C66">
        <v>123</v>
      </c>
      <c r="D66">
        <v>37</v>
      </c>
      <c r="E66">
        <v>30.08</v>
      </c>
      <c r="F66">
        <v>7556.3099999999995</v>
      </c>
      <c r="G66">
        <v>2447.6699999999996</v>
      </c>
      <c r="H66">
        <v>28.039999999999996</v>
      </c>
      <c r="I66">
        <v>15.692307692307693</v>
      </c>
    </row>
    <row r="67" spans="1:9" x14ac:dyDescent="0.25">
      <c r="A67" s="1">
        <v>45566</v>
      </c>
      <c r="B67" t="s">
        <v>15</v>
      </c>
      <c r="C67">
        <v>160</v>
      </c>
      <c r="D67">
        <v>47</v>
      </c>
      <c r="E67">
        <v>29.38</v>
      </c>
      <c r="F67">
        <v>9573.8200000000015</v>
      </c>
      <c r="G67">
        <v>4266.1900000000005</v>
      </c>
      <c r="H67">
        <v>30.33</v>
      </c>
      <c r="I67">
        <v>-2.4568393094289598</v>
      </c>
    </row>
    <row r="68" spans="1:9" x14ac:dyDescent="0.25">
      <c r="A68" s="1">
        <v>45597</v>
      </c>
      <c r="B68" t="s">
        <v>20</v>
      </c>
      <c r="C68">
        <v>4</v>
      </c>
      <c r="D68">
        <v>0</v>
      </c>
      <c r="E68">
        <v>0</v>
      </c>
      <c r="F68">
        <v>331.4</v>
      </c>
      <c r="G68">
        <v>0</v>
      </c>
      <c r="H68">
        <v>12.270000000000001</v>
      </c>
      <c r="I68">
        <v>-100</v>
      </c>
    </row>
    <row r="69" spans="1:9" x14ac:dyDescent="0.25">
      <c r="A69" s="1">
        <v>45597</v>
      </c>
      <c r="B69" t="s">
        <v>19</v>
      </c>
      <c r="C69">
        <v>2</v>
      </c>
      <c r="D69">
        <v>1</v>
      </c>
      <c r="E69">
        <v>50</v>
      </c>
      <c r="F69">
        <v>103.26</v>
      </c>
      <c r="G69">
        <v>97.59</v>
      </c>
      <c r="H69">
        <v>35.359999999999992</v>
      </c>
      <c r="I69">
        <v>66.223404255319167</v>
      </c>
    </row>
    <row r="70" spans="1:9" x14ac:dyDescent="0.25">
      <c r="A70" s="1">
        <v>45597</v>
      </c>
      <c r="B70" t="s">
        <v>15</v>
      </c>
      <c r="C70">
        <v>11</v>
      </c>
      <c r="D70">
        <v>3</v>
      </c>
      <c r="E70">
        <v>27.27</v>
      </c>
      <c r="F70">
        <v>1166.0400000000002</v>
      </c>
      <c r="G70">
        <v>626.61</v>
      </c>
      <c r="H70">
        <v>28.923333333333336</v>
      </c>
      <c r="I70">
        <v>-7.1817562968005451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178A3-6E60-438A-81CF-602BABA51D9E}">
  <sheetPr>
    <tabColor rgb="FFC00000"/>
  </sheetPr>
  <dimension ref="A1:Q69"/>
  <sheetViews>
    <sheetView showGridLines="0" tabSelected="1" zoomScale="80" zoomScaleNormal="80" workbookViewId="0">
      <pane ySplit="9" topLeftCell="A26" activePane="bottomLeft" state="frozen"/>
      <selection pane="bottomLeft" activeCell="O32" sqref="O32"/>
    </sheetView>
  </sheetViews>
  <sheetFormatPr defaultColWidth="0" defaultRowHeight="15" zeroHeight="1" x14ac:dyDescent="0.25"/>
  <cols>
    <col min="1" max="2" width="16.7109375" customWidth="1"/>
    <col min="3" max="3" width="23.28515625" bestFit="1" customWidth="1"/>
    <col min="4" max="4" width="20.140625" customWidth="1"/>
    <col min="5" max="7" width="10.7109375" customWidth="1"/>
    <col min="8" max="8" width="3.5703125" customWidth="1"/>
    <col min="9" max="9" width="15.42578125" customWidth="1"/>
    <col min="10" max="10" width="20" customWidth="1"/>
    <col min="11" max="11" width="15.42578125" bestFit="1" customWidth="1"/>
    <col min="12" max="12" width="19.28515625" customWidth="1"/>
    <col min="13" max="13" width="22" customWidth="1"/>
    <col min="14" max="14" width="17.140625" customWidth="1"/>
    <col min="15" max="15" width="2.7109375" customWidth="1"/>
    <col min="16" max="16" width="1.42578125" customWidth="1"/>
    <col min="17" max="17" width="2.42578125" hidden="1" customWidth="1"/>
    <col min="18" max="16384" width="9.140625" hidden="1"/>
  </cols>
  <sheetData>
    <row r="1" spans="1:16" x14ac:dyDescent="0.25">
      <c r="A1" s="66" t="s">
        <v>58</v>
      </c>
      <c r="B1" s="66"/>
      <c r="C1" s="66"/>
      <c r="D1" s="66"/>
      <c r="E1" s="66"/>
      <c r="F1" s="66"/>
      <c r="G1" s="66"/>
      <c r="H1" s="66"/>
      <c r="I1" s="66"/>
      <c r="J1" s="66"/>
      <c r="K1" s="66"/>
      <c r="L1" s="66"/>
      <c r="M1" s="66"/>
      <c r="N1" s="66"/>
      <c r="O1" s="5"/>
    </row>
    <row r="2" spans="1:16" ht="25.5" customHeight="1" x14ac:dyDescent="0.25">
      <c r="A2" s="66"/>
      <c r="B2" s="66"/>
      <c r="C2" s="66"/>
      <c r="D2" s="66"/>
      <c r="E2" s="66"/>
      <c r="F2" s="66"/>
      <c r="G2" s="66"/>
      <c r="H2" s="66"/>
      <c r="I2" s="66"/>
      <c r="J2" s="66"/>
      <c r="K2" s="66"/>
      <c r="L2" s="66"/>
      <c r="M2" s="66"/>
      <c r="N2" s="66"/>
      <c r="O2" s="30"/>
      <c r="P2" s="24"/>
    </row>
    <row r="3" spans="1:16" ht="6" customHeight="1" x14ac:dyDescent="0.25">
      <c r="A3" s="39"/>
      <c r="B3" s="39"/>
      <c r="C3" s="39"/>
      <c r="D3" s="39"/>
      <c r="E3" s="39"/>
      <c r="F3" s="39"/>
      <c r="G3" s="39"/>
      <c r="H3" s="39"/>
      <c r="I3" s="39"/>
      <c r="J3" s="39"/>
      <c r="K3" s="39"/>
      <c r="L3" s="39"/>
      <c r="M3" s="39"/>
      <c r="N3" s="39"/>
      <c r="O3" s="30"/>
      <c r="P3" s="24"/>
    </row>
    <row r="4" spans="1:16" ht="18" customHeight="1" x14ac:dyDescent="0.25">
      <c r="A4" s="62" t="s">
        <v>59</v>
      </c>
      <c r="B4" s="62"/>
      <c r="C4" s="62"/>
      <c r="D4" s="62"/>
      <c r="E4" s="62"/>
      <c r="F4" s="62"/>
      <c r="G4" s="62"/>
      <c r="H4" s="62"/>
      <c r="I4" s="62"/>
      <c r="J4" s="62"/>
      <c r="K4" s="62"/>
      <c r="L4" s="62"/>
      <c r="M4" s="62"/>
      <c r="N4" s="62"/>
      <c r="O4" s="31"/>
      <c r="P4" s="21"/>
    </row>
    <row r="5" spans="1:16" ht="7.5" customHeight="1" x14ac:dyDescent="0.25">
      <c r="A5" s="25"/>
      <c r="B5" s="25"/>
      <c r="C5" s="25"/>
      <c r="D5" s="25"/>
      <c r="E5" s="25"/>
      <c r="F5" s="25"/>
      <c r="G5" s="25"/>
      <c r="H5" s="25"/>
      <c r="I5" s="25"/>
      <c r="J5" s="25"/>
      <c r="K5" s="25"/>
      <c r="L5" s="25"/>
      <c r="M5" s="25"/>
      <c r="N5" s="25"/>
      <c r="O5" s="5"/>
    </row>
    <row r="6" spans="1:16" x14ac:dyDescent="0.25">
      <c r="O6" s="5"/>
    </row>
    <row r="7" spans="1:16" x14ac:dyDescent="0.25">
      <c r="O7" s="5"/>
    </row>
    <row r="8" spans="1:16" x14ac:dyDescent="0.25">
      <c r="O8" s="5"/>
    </row>
    <row r="9" spans="1:16" ht="21" customHeight="1" x14ac:dyDescent="0.25">
      <c r="O9" s="5"/>
    </row>
    <row r="10" spans="1:16" ht="7.5" customHeight="1" x14ac:dyDescent="0.25">
      <c r="A10" s="25"/>
      <c r="B10" s="25"/>
      <c r="C10" s="25"/>
      <c r="D10" s="25"/>
      <c r="E10" s="25"/>
      <c r="F10" s="25"/>
      <c r="G10" s="25"/>
      <c r="H10" s="25"/>
      <c r="I10" s="25"/>
      <c r="J10" s="25"/>
      <c r="K10" s="25"/>
      <c r="L10" s="25"/>
      <c r="M10" s="25"/>
      <c r="N10" s="25"/>
      <c r="O10" s="5"/>
    </row>
    <row r="11" spans="1:16" ht="15" customHeight="1" x14ac:dyDescent="0.25">
      <c r="A11" s="61" t="s">
        <v>111</v>
      </c>
      <c r="B11" s="61"/>
      <c r="C11" s="61"/>
      <c r="D11" s="61"/>
      <c r="E11" s="61"/>
      <c r="F11" s="61"/>
      <c r="G11" s="61"/>
      <c r="H11" s="61"/>
      <c r="I11" s="61"/>
      <c r="J11" s="61"/>
      <c r="K11" s="61"/>
      <c r="L11" s="61"/>
      <c r="M11" s="61"/>
      <c r="N11" s="61"/>
      <c r="O11" s="32"/>
      <c r="P11" s="26"/>
    </row>
    <row r="12" spans="1:16" ht="15" customHeight="1" x14ac:dyDescent="0.25">
      <c r="A12" s="26"/>
      <c r="B12" s="26"/>
      <c r="C12" s="26"/>
      <c r="D12" s="26"/>
      <c r="E12" s="26"/>
      <c r="F12" s="26"/>
      <c r="G12" s="26"/>
      <c r="H12" s="26"/>
      <c r="I12" s="26"/>
      <c r="J12" s="26"/>
      <c r="K12" s="26"/>
      <c r="L12" s="26"/>
      <c r="M12" s="26"/>
      <c r="N12" s="26"/>
      <c r="O12" s="32"/>
      <c r="P12" s="26"/>
    </row>
    <row r="13" spans="1:16" x14ac:dyDescent="0.25">
      <c r="I13" s="63" t="s">
        <v>124</v>
      </c>
      <c r="J13" s="63"/>
      <c r="K13" s="63"/>
      <c r="L13" s="63"/>
      <c r="M13" s="63"/>
      <c r="N13" s="63"/>
      <c r="O13" s="5"/>
    </row>
    <row r="14" spans="1:16" x14ac:dyDescent="0.25">
      <c r="I14" s="63"/>
      <c r="J14" s="63"/>
      <c r="K14" s="63"/>
      <c r="L14" s="63"/>
      <c r="M14" s="63"/>
      <c r="N14" s="63"/>
      <c r="O14" s="5"/>
    </row>
    <row r="15" spans="1:16" x14ac:dyDescent="0.25">
      <c r="O15" s="5"/>
    </row>
    <row r="16" spans="1:16" x14ac:dyDescent="0.25">
      <c r="O16" s="5"/>
    </row>
    <row r="17" spans="1:16" x14ac:dyDescent="0.25">
      <c r="O17" s="5"/>
    </row>
    <row r="18" spans="1:16" x14ac:dyDescent="0.25">
      <c r="O18" s="5"/>
    </row>
    <row r="19" spans="1:16" x14ac:dyDescent="0.25">
      <c r="O19" s="5"/>
    </row>
    <row r="20" spans="1:16" x14ac:dyDescent="0.25">
      <c r="O20" s="5"/>
    </row>
    <row r="21" spans="1:16" x14ac:dyDescent="0.25">
      <c r="O21" s="5"/>
    </row>
    <row r="22" spans="1:16" x14ac:dyDescent="0.25">
      <c r="O22" s="5"/>
    </row>
    <row r="23" spans="1:16" x14ac:dyDescent="0.25">
      <c r="O23" s="5"/>
    </row>
    <row r="24" spans="1:16" x14ac:dyDescent="0.25">
      <c r="O24" s="5"/>
    </row>
    <row r="25" spans="1:16" x14ac:dyDescent="0.25">
      <c r="O25" s="5"/>
    </row>
    <row r="26" spans="1:16" ht="7.5" customHeight="1" x14ac:dyDescent="0.25">
      <c r="A26" s="25"/>
      <c r="B26" s="25"/>
      <c r="C26" s="25"/>
      <c r="D26" s="25"/>
      <c r="E26" s="25"/>
      <c r="F26" s="25"/>
      <c r="G26" s="25"/>
      <c r="H26" s="25"/>
      <c r="I26" s="25"/>
      <c r="J26" s="25"/>
      <c r="K26" s="25"/>
      <c r="L26" s="25"/>
      <c r="M26" s="25"/>
      <c r="N26" s="25"/>
      <c r="O26" s="5"/>
    </row>
    <row r="27" spans="1:16" ht="15" customHeight="1" x14ac:dyDescent="0.25">
      <c r="A27" s="61" t="s">
        <v>112</v>
      </c>
      <c r="B27" s="61"/>
      <c r="C27" s="61"/>
      <c r="D27" s="61"/>
      <c r="E27" s="61"/>
      <c r="F27" s="61"/>
      <c r="G27" s="61"/>
      <c r="H27" s="61"/>
      <c r="I27" s="61"/>
      <c r="J27" s="61"/>
      <c r="K27" s="61"/>
      <c r="L27" s="61"/>
      <c r="M27" s="61"/>
      <c r="N27" s="61"/>
      <c r="O27" s="32"/>
      <c r="P27" s="26"/>
    </row>
    <row r="28" spans="1:16" ht="15" customHeight="1" x14ac:dyDescent="0.25">
      <c r="A28" s="26"/>
      <c r="B28" s="26"/>
      <c r="C28" s="26"/>
      <c r="D28" s="26"/>
      <c r="E28" s="26"/>
      <c r="F28" s="26"/>
      <c r="G28" s="26"/>
      <c r="H28" s="26"/>
      <c r="I28" s="26"/>
      <c r="J28" s="26"/>
      <c r="K28" s="26"/>
      <c r="L28" s="26"/>
      <c r="M28" s="26"/>
      <c r="N28" s="26"/>
      <c r="O28" s="32"/>
      <c r="P28" s="26"/>
    </row>
    <row r="29" spans="1:16" ht="15" customHeight="1" x14ac:dyDescent="0.25">
      <c r="A29" s="26"/>
      <c r="B29" s="26"/>
      <c r="C29" s="26"/>
      <c r="D29" s="26"/>
      <c r="E29" s="26"/>
      <c r="F29" s="26"/>
      <c r="G29" s="26"/>
      <c r="H29" s="26"/>
      <c r="I29" s="26"/>
      <c r="J29" s="26"/>
      <c r="K29" s="26"/>
      <c r="L29" s="26"/>
      <c r="M29" s="26"/>
      <c r="N29" s="26"/>
      <c r="O29" s="32"/>
      <c r="P29" s="26"/>
    </row>
    <row r="30" spans="1:16" x14ac:dyDescent="0.25">
      <c r="O30" s="5"/>
    </row>
    <row r="31" spans="1:16" x14ac:dyDescent="0.25">
      <c r="O31" s="5"/>
    </row>
    <row r="32" spans="1:16" x14ac:dyDescent="0.25">
      <c r="O32" s="5"/>
    </row>
    <row r="33" spans="1:16" x14ac:dyDescent="0.25">
      <c r="O33" s="5"/>
    </row>
    <row r="34" spans="1:16" x14ac:dyDescent="0.25">
      <c r="O34" s="5"/>
    </row>
    <row r="35" spans="1:16" x14ac:dyDescent="0.25">
      <c r="O35" s="5"/>
    </row>
    <row r="36" spans="1:16" x14ac:dyDescent="0.25">
      <c r="O36" s="5"/>
    </row>
    <row r="37" spans="1:16" x14ac:dyDescent="0.25">
      <c r="O37" s="5"/>
    </row>
    <row r="38" spans="1:16" x14ac:dyDescent="0.25">
      <c r="O38" s="5"/>
    </row>
    <row r="39" spans="1:16" x14ac:dyDescent="0.25">
      <c r="O39" s="5"/>
    </row>
    <row r="40" spans="1:16" x14ac:dyDescent="0.25">
      <c r="O40" s="5"/>
    </row>
    <row r="41" spans="1:16" x14ac:dyDescent="0.25">
      <c r="O41" s="5"/>
    </row>
    <row r="42" spans="1:16" x14ac:dyDescent="0.25">
      <c r="O42" s="5"/>
    </row>
    <row r="43" spans="1:16" x14ac:dyDescent="0.25">
      <c r="O43" s="5"/>
    </row>
    <row r="44" spans="1:16" ht="8.25" customHeight="1" x14ac:dyDescent="0.25">
      <c r="A44" s="25"/>
      <c r="B44" s="25"/>
      <c r="C44" s="25"/>
      <c r="D44" s="25"/>
      <c r="E44" s="25"/>
      <c r="F44" s="25"/>
      <c r="G44" s="25"/>
      <c r="H44" s="25"/>
      <c r="I44" s="25"/>
      <c r="J44" s="25"/>
      <c r="K44" s="25"/>
      <c r="L44" s="25"/>
      <c r="M44" s="25"/>
      <c r="N44" s="25"/>
      <c r="O44" s="5"/>
    </row>
    <row r="45" spans="1:16" ht="16.5" customHeight="1" x14ac:dyDescent="0.35">
      <c r="A45" s="61" t="s">
        <v>113</v>
      </c>
      <c r="B45" s="61"/>
      <c r="C45" s="61"/>
      <c r="D45" s="61"/>
      <c r="E45" s="61"/>
      <c r="F45" s="61"/>
      <c r="G45" s="61"/>
      <c r="H45" s="65"/>
      <c r="I45" s="61" t="s">
        <v>114</v>
      </c>
      <c r="J45" s="61"/>
      <c r="K45" s="61"/>
      <c r="L45" s="61"/>
      <c r="M45" s="61"/>
      <c r="N45" s="61"/>
      <c r="O45" s="29"/>
      <c r="P45" s="27"/>
    </row>
    <row r="46" spans="1:16" ht="15" customHeight="1" x14ac:dyDescent="0.35">
      <c r="F46" s="27"/>
      <c r="G46" s="27"/>
      <c r="H46" s="65"/>
      <c r="O46" s="5"/>
    </row>
    <row r="47" spans="1:16" ht="15" customHeight="1" x14ac:dyDescent="0.35">
      <c r="F47" s="27"/>
      <c r="G47" s="27"/>
      <c r="H47" s="65"/>
      <c r="K47" s="6"/>
      <c r="L47" s="3"/>
      <c r="N47" s="6"/>
      <c r="O47" s="5"/>
    </row>
    <row r="48" spans="1:16" ht="15" customHeight="1" x14ac:dyDescent="0.35">
      <c r="F48" s="27"/>
      <c r="G48" s="27"/>
      <c r="H48" s="65"/>
      <c r="K48" s="6"/>
      <c r="L48" s="6"/>
      <c r="M48" s="28"/>
      <c r="N48" s="28"/>
      <c r="O48" s="5"/>
    </row>
    <row r="49" spans="3:15" ht="15" customHeight="1" x14ac:dyDescent="0.35">
      <c r="C49" s="6"/>
      <c r="D49" s="6"/>
      <c r="E49" s="6"/>
      <c r="F49" s="27"/>
      <c r="G49" s="27"/>
      <c r="H49" s="65"/>
      <c r="K49" s="6"/>
      <c r="L49" s="6"/>
      <c r="M49" s="28"/>
      <c r="N49" s="28"/>
      <c r="O49" s="5"/>
    </row>
    <row r="50" spans="3:15" ht="15" customHeight="1" x14ac:dyDescent="0.35">
      <c r="C50" s="6"/>
      <c r="D50" s="6"/>
      <c r="E50" s="6"/>
      <c r="F50" s="27"/>
      <c r="G50" s="27"/>
      <c r="H50" s="65"/>
      <c r="K50" s="6"/>
      <c r="L50" s="6"/>
      <c r="M50" s="28"/>
      <c r="N50" s="28"/>
      <c r="O50" s="5"/>
    </row>
    <row r="51" spans="3:15" ht="15" customHeight="1" x14ac:dyDescent="0.35">
      <c r="C51" s="6"/>
      <c r="D51" s="6"/>
      <c r="E51" s="6"/>
      <c r="F51" s="27"/>
      <c r="G51" s="27"/>
      <c r="H51" s="65"/>
      <c r="K51" s="6"/>
      <c r="L51" s="6"/>
      <c r="M51" s="28"/>
      <c r="N51" s="28"/>
      <c r="O51" s="5"/>
    </row>
    <row r="52" spans="3:15" ht="15" customHeight="1" x14ac:dyDescent="0.35">
      <c r="C52" s="6"/>
      <c r="D52" s="6"/>
      <c r="E52" s="6"/>
      <c r="F52" s="27"/>
      <c r="G52" s="27"/>
      <c r="H52" s="65"/>
      <c r="K52" s="6"/>
      <c r="L52" s="6"/>
      <c r="M52" s="28"/>
      <c r="N52" s="28"/>
      <c r="O52" s="5"/>
    </row>
    <row r="53" spans="3:15" ht="15" customHeight="1" x14ac:dyDescent="0.35">
      <c r="F53" s="27"/>
      <c r="G53" s="27"/>
      <c r="H53" s="65"/>
      <c r="K53" s="6"/>
      <c r="L53" s="6"/>
      <c r="M53" s="28"/>
      <c r="N53" s="28"/>
      <c r="O53" s="5"/>
    </row>
    <row r="54" spans="3:15" ht="15" customHeight="1" x14ac:dyDescent="0.35">
      <c r="F54" s="27"/>
      <c r="G54" s="27"/>
      <c r="H54" s="65"/>
      <c r="K54" s="6"/>
      <c r="L54" s="6"/>
      <c r="M54" s="28"/>
      <c r="N54" s="28"/>
      <c r="O54" s="5"/>
    </row>
    <row r="55" spans="3:15" ht="15" customHeight="1" x14ac:dyDescent="0.35">
      <c r="F55" s="27"/>
      <c r="G55" s="27"/>
      <c r="H55" s="65"/>
      <c r="K55" s="6"/>
      <c r="L55" s="6"/>
      <c r="M55" s="28"/>
      <c r="N55" s="28"/>
      <c r="O55" s="5"/>
    </row>
    <row r="56" spans="3:15" ht="15" customHeight="1" x14ac:dyDescent="0.35">
      <c r="F56" s="27"/>
      <c r="G56" s="27"/>
      <c r="H56" s="65"/>
      <c r="K56" s="4"/>
      <c r="L56" s="6"/>
      <c r="M56" s="28"/>
      <c r="N56" s="28"/>
      <c r="O56" s="5"/>
    </row>
    <row r="57" spans="3:15" ht="15" customHeight="1" x14ac:dyDescent="0.35">
      <c r="F57" s="27"/>
      <c r="G57" s="27"/>
      <c r="H57" s="65"/>
      <c r="K57" s="4"/>
      <c r="L57" s="6"/>
      <c r="M57" s="28"/>
      <c r="N57" s="28"/>
      <c r="O57" s="5"/>
    </row>
    <row r="58" spans="3:15" ht="15" customHeight="1" x14ac:dyDescent="0.35">
      <c r="F58" s="27"/>
      <c r="G58" s="27"/>
      <c r="H58" s="65"/>
      <c r="K58" s="6"/>
      <c r="L58" s="6"/>
      <c r="M58" s="28"/>
      <c r="N58" s="28"/>
      <c r="O58" s="5"/>
    </row>
    <row r="59" spans="3:15" ht="15" customHeight="1" x14ac:dyDescent="0.35">
      <c r="F59" s="27"/>
      <c r="G59" s="27"/>
      <c r="H59" s="65"/>
      <c r="K59" s="6"/>
      <c r="L59" s="6"/>
      <c r="M59" s="28"/>
      <c r="N59" s="28"/>
      <c r="O59" s="5"/>
    </row>
    <row r="60" spans="3:15" ht="15" customHeight="1" x14ac:dyDescent="0.35">
      <c r="F60" s="27"/>
      <c r="G60" s="27"/>
      <c r="H60" s="65"/>
      <c r="K60" s="6"/>
      <c r="L60" s="6"/>
      <c r="M60" s="28"/>
      <c r="N60" s="28"/>
      <c r="O60" s="5"/>
    </row>
    <row r="61" spans="3:15" ht="15" customHeight="1" x14ac:dyDescent="0.35">
      <c r="F61" s="27"/>
      <c r="G61" s="27"/>
      <c r="H61" s="65"/>
      <c r="K61" s="6"/>
      <c r="L61" s="6"/>
      <c r="M61" s="28"/>
      <c r="N61" s="28"/>
      <c r="O61" s="5"/>
    </row>
    <row r="62" spans="3:15" ht="15" customHeight="1" x14ac:dyDescent="0.35">
      <c r="F62" s="27"/>
      <c r="G62" s="27"/>
      <c r="H62" s="65"/>
      <c r="K62" s="6"/>
      <c r="L62" s="6"/>
      <c r="M62" s="28"/>
      <c r="N62" s="28"/>
      <c r="O62" s="5"/>
    </row>
    <row r="63" spans="3:15" ht="15" customHeight="1" x14ac:dyDescent="0.35">
      <c r="F63" s="27"/>
      <c r="G63" s="27"/>
      <c r="H63" s="65"/>
      <c r="O63" s="5"/>
    </row>
    <row r="64" spans="3:15" ht="15" customHeight="1" x14ac:dyDescent="0.35">
      <c r="F64" s="27"/>
      <c r="G64" s="27"/>
      <c r="H64" s="65"/>
      <c r="O64" s="5"/>
    </row>
    <row r="65" spans="1:15" ht="14.25" customHeight="1" x14ac:dyDescent="0.25">
      <c r="A65" s="64" t="s">
        <v>131</v>
      </c>
      <c r="B65" s="64"/>
      <c r="C65" s="64"/>
      <c r="D65" s="64"/>
      <c r="E65" s="64"/>
      <c r="F65" s="64"/>
      <c r="G65" s="64"/>
      <c r="H65" s="64"/>
      <c r="I65" s="64"/>
      <c r="J65" s="64"/>
      <c r="K65" s="64"/>
      <c r="L65" s="64"/>
      <c r="M65" s="64"/>
      <c r="N65" s="64"/>
      <c r="O65" s="64"/>
    </row>
    <row r="66" spans="1:15" ht="6.75" customHeight="1" x14ac:dyDescent="0.35">
      <c r="F66" s="27"/>
      <c r="G66" s="27"/>
      <c r="H66" s="35"/>
    </row>
    <row r="67" spans="1:15" ht="15" hidden="1" customHeight="1" x14ac:dyDescent="0.35">
      <c r="H67" s="35"/>
    </row>
    <row r="68" spans="1:15" ht="15" hidden="1" customHeight="1" x14ac:dyDescent="0.35">
      <c r="H68" s="35"/>
    </row>
    <row r="69" spans="1:15" ht="15" hidden="1" customHeight="1" x14ac:dyDescent="0.35">
      <c r="H69" s="35"/>
    </row>
  </sheetData>
  <mergeCells count="9">
    <mergeCell ref="A65:O65"/>
    <mergeCell ref="H45:H64"/>
    <mergeCell ref="A1:N2"/>
    <mergeCell ref="A45:G45"/>
    <mergeCell ref="A4:N4"/>
    <mergeCell ref="A11:N11"/>
    <mergeCell ref="A27:N27"/>
    <mergeCell ref="I45:N45"/>
    <mergeCell ref="I13:N14"/>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49F6-3399-4ABA-9A95-7BD8560C2842}">
  <dimension ref="A1:G21"/>
  <sheetViews>
    <sheetView workbookViewId="0">
      <selection activeCell="F29" sqref="F29"/>
    </sheetView>
  </sheetViews>
  <sheetFormatPr defaultRowHeight="15" x14ac:dyDescent="0.25"/>
  <cols>
    <col min="1" max="1" width="11" bestFit="1" customWidth="1"/>
    <col min="2" max="2" width="9.5703125" bestFit="1" customWidth="1"/>
    <col min="3" max="3" width="14.85546875" bestFit="1" customWidth="1"/>
    <col min="4" max="4" width="18.42578125" bestFit="1" customWidth="1"/>
    <col min="5" max="5" width="19.140625" bestFit="1" customWidth="1"/>
    <col min="6" max="6" width="25" bestFit="1" customWidth="1"/>
    <col min="7" max="7" width="16.28515625" bestFit="1" customWidth="1"/>
  </cols>
  <sheetData>
    <row r="1" spans="1:7" x14ac:dyDescent="0.25">
      <c r="A1" t="s">
        <v>69</v>
      </c>
      <c r="B1" t="s">
        <v>34</v>
      </c>
      <c r="C1" t="s">
        <v>70</v>
      </c>
      <c r="D1" t="s">
        <v>71</v>
      </c>
      <c r="E1" t="s">
        <v>72</v>
      </c>
      <c r="F1" t="s">
        <v>60</v>
      </c>
      <c r="G1" t="s">
        <v>73</v>
      </c>
    </row>
    <row r="2" spans="1:7" x14ac:dyDescent="0.25">
      <c r="A2">
        <v>905</v>
      </c>
      <c r="B2" t="s">
        <v>39</v>
      </c>
      <c r="C2">
        <v>100</v>
      </c>
      <c r="D2">
        <v>640.29</v>
      </c>
      <c r="E2">
        <v>640.29</v>
      </c>
      <c r="F2">
        <v>100</v>
      </c>
      <c r="G2">
        <v>0.75302538243413275</v>
      </c>
    </row>
    <row r="3" spans="1:7" x14ac:dyDescent="0.25">
      <c r="A3">
        <v>426</v>
      </c>
      <c r="B3" t="s">
        <v>39</v>
      </c>
      <c r="C3">
        <v>100</v>
      </c>
      <c r="D3">
        <v>402.12</v>
      </c>
      <c r="E3">
        <v>402.12</v>
      </c>
      <c r="F3">
        <v>100</v>
      </c>
      <c r="G3">
        <v>0.67933470392198547</v>
      </c>
    </row>
    <row r="4" spans="1:7" x14ac:dyDescent="0.25">
      <c r="A4">
        <v>380</v>
      </c>
      <c r="B4" t="s">
        <v>39</v>
      </c>
      <c r="C4">
        <v>100</v>
      </c>
      <c r="D4">
        <v>5.85</v>
      </c>
      <c r="E4">
        <v>5.85</v>
      </c>
      <c r="F4">
        <v>100</v>
      </c>
      <c r="G4">
        <v>0.57009067754708309</v>
      </c>
    </row>
    <row r="5" spans="1:7" x14ac:dyDescent="0.25">
      <c r="A5">
        <v>125</v>
      </c>
      <c r="B5" t="s">
        <v>39</v>
      </c>
      <c r="C5">
        <v>100</v>
      </c>
      <c r="D5">
        <v>629.44000000000005</v>
      </c>
      <c r="E5">
        <v>629.44000000000005</v>
      </c>
      <c r="F5">
        <v>100</v>
      </c>
      <c r="G5">
        <v>0.61308258899323376</v>
      </c>
    </row>
    <row r="6" spans="1:7" x14ac:dyDescent="0.25">
      <c r="A6">
        <v>614</v>
      </c>
      <c r="B6" t="s">
        <v>39</v>
      </c>
      <c r="C6">
        <v>92.86</v>
      </c>
      <c r="D6">
        <v>884.9</v>
      </c>
      <c r="E6">
        <v>870.48</v>
      </c>
      <c r="F6">
        <v>98.370437337552275</v>
      </c>
      <c r="G6">
        <v>0.6271631268059249</v>
      </c>
    </row>
    <row r="7" spans="1:7" x14ac:dyDescent="0.25">
      <c r="A7">
        <v>765</v>
      </c>
      <c r="B7" t="s">
        <v>39</v>
      </c>
      <c r="C7">
        <v>92.31</v>
      </c>
      <c r="D7">
        <v>1741.69</v>
      </c>
      <c r="E7">
        <v>1684.96</v>
      </c>
      <c r="F7">
        <v>96.742818756495126</v>
      </c>
      <c r="G7">
        <v>0.61640666884606332</v>
      </c>
    </row>
    <row r="8" spans="1:7" x14ac:dyDescent="0.25">
      <c r="A8">
        <v>351</v>
      </c>
      <c r="B8" t="s">
        <v>39</v>
      </c>
      <c r="C8">
        <v>91.67</v>
      </c>
      <c r="D8">
        <v>864.67000000000007</v>
      </c>
      <c r="E8">
        <v>833.04000000000008</v>
      </c>
      <c r="F8">
        <v>96.341957047197212</v>
      </c>
      <c r="G8">
        <v>0.67273123530608947</v>
      </c>
    </row>
    <row r="9" spans="1:7" x14ac:dyDescent="0.25">
      <c r="A9">
        <v>432</v>
      </c>
      <c r="B9" t="s">
        <v>38</v>
      </c>
      <c r="C9">
        <v>90</v>
      </c>
      <c r="D9">
        <v>2007.3799999999999</v>
      </c>
      <c r="E9">
        <v>1981.32</v>
      </c>
      <c r="F9">
        <v>98.701790393448178</v>
      </c>
      <c r="G9">
        <v>0.68528619461177631</v>
      </c>
    </row>
    <row r="10" spans="1:7" x14ac:dyDescent="0.25">
      <c r="A10">
        <v>811</v>
      </c>
      <c r="B10" t="s">
        <v>38</v>
      </c>
      <c r="C10">
        <v>90</v>
      </c>
      <c r="D10">
        <v>692.12</v>
      </c>
      <c r="E10">
        <v>682.9</v>
      </c>
      <c r="F10">
        <v>98.667861064555282</v>
      </c>
      <c r="G10">
        <v>0.56404492236963466</v>
      </c>
    </row>
    <row r="11" spans="1:7" x14ac:dyDescent="0.25">
      <c r="A11">
        <v>778</v>
      </c>
      <c r="B11" t="s">
        <v>38</v>
      </c>
      <c r="C11">
        <v>90</v>
      </c>
      <c r="D11">
        <v>823.38</v>
      </c>
      <c r="E11">
        <v>808.2</v>
      </c>
      <c r="F11">
        <v>98.156379800335202</v>
      </c>
      <c r="G11">
        <v>0.75312211387353467</v>
      </c>
    </row>
    <row r="12" spans="1:7" x14ac:dyDescent="0.25">
      <c r="A12">
        <v>318</v>
      </c>
      <c r="B12" t="s">
        <v>39</v>
      </c>
      <c r="C12">
        <v>89.47</v>
      </c>
      <c r="D12">
        <v>837.92</v>
      </c>
      <c r="E12">
        <v>804.78</v>
      </c>
      <c r="F12">
        <v>96.04496849341227</v>
      </c>
      <c r="G12">
        <v>0.60492507396847373</v>
      </c>
    </row>
    <row r="13" spans="1:7" x14ac:dyDescent="0.25">
      <c r="A13">
        <v>901</v>
      </c>
      <c r="B13" t="s">
        <v>39</v>
      </c>
      <c r="C13">
        <v>88.89</v>
      </c>
      <c r="D13">
        <v>1008.09</v>
      </c>
      <c r="E13">
        <v>967.07</v>
      </c>
      <c r="F13">
        <v>95.930918866371059</v>
      </c>
      <c r="G13">
        <v>0.59511181134702529</v>
      </c>
    </row>
    <row r="14" spans="1:7" x14ac:dyDescent="0.25">
      <c r="A14">
        <v>329</v>
      </c>
      <c r="B14" t="s">
        <v>39</v>
      </c>
      <c r="C14">
        <v>86.67</v>
      </c>
      <c r="D14">
        <v>389.58000000000004</v>
      </c>
      <c r="E14">
        <v>368.85</v>
      </c>
      <c r="F14">
        <v>94.678884953026326</v>
      </c>
      <c r="G14">
        <v>0.60435641119571548</v>
      </c>
    </row>
    <row r="15" spans="1:7" x14ac:dyDescent="0.25">
      <c r="A15">
        <v>350</v>
      </c>
      <c r="B15" t="s">
        <v>38</v>
      </c>
      <c r="C15">
        <v>85.71</v>
      </c>
      <c r="D15">
        <v>693.46999999999991</v>
      </c>
      <c r="E15">
        <v>662.03</v>
      </c>
      <c r="F15">
        <v>95.466278281684879</v>
      </c>
      <c r="G15">
        <v>0.61718322481696042</v>
      </c>
    </row>
    <row r="16" spans="1:7" x14ac:dyDescent="0.25">
      <c r="A16">
        <v>440</v>
      </c>
      <c r="B16" t="s">
        <v>39</v>
      </c>
      <c r="C16">
        <v>85.71</v>
      </c>
      <c r="D16">
        <v>992.93999999999983</v>
      </c>
      <c r="E16">
        <v>941.69999999999982</v>
      </c>
      <c r="F16">
        <v>94.839567345458946</v>
      </c>
      <c r="G16">
        <v>0.64800968447459861</v>
      </c>
    </row>
    <row r="17" spans="1:7" x14ac:dyDescent="0.25">
      <c r="A17">
        <v>581</v>
      </c>
      <c r="B17" t="s">
        <v>39</v>
      </c>
      <c r="C17">
        <v>83.33</v>
      </c>
      <c r="D17">
        <v>1114.67</v>
      </c>
      <c r="E17">
        <v>1092.5999999999999</v>
      </c>
      <c r="F17">
        <v>98.020041806095051</v>
      </c>
      <c r="G17">
        <v>0.58835201531187764</v>
      </c>
    </row>
    <row r="18" spans="1:7" x14ac:dyDescent="0.25">
      <c r="A18">
        <v>248</v>
      </c>
      <c r="B18" t="s">
        <v>38</v>
      </c>
      <c r="C18">
        <v>83.33</v>
      </c>
      <c r="D18">
        <v>1693.98</v>
      </c>
      <c r="E18">
        <v>1560.37</v>
      </c>
      <c r="F18">
        <v>92.112657764554484</v>
      </c>
      <c r="G18">
        <v>0.53358526015361307</v>
      </c>
    </row>
    <row r="19" spans="1:7" x14ac:dyDescent="0.25">
      <c r="A19">
        <v>466</v>
      </c>
      <c r="B19" t="s">
        <v>39</v>
      </c>
      <c r="C19">
        <v>83.33</v>
      </c>
      <c r="D19">
        <v>820.94</v>
      </c>
      <c r="E19">
        <v>716.74</v>
      </c>
      <c r="F19">
        <v>87.307233171729962</v>
      </c>
      <c r="G19">
        <v>0.61952976210788002</v>
      </c>
    </row>
    <row r="20" spans="1:7" x14ac:dyDescent="0.25">
      <c r="A20">
        <v>517</v>
      </c>
      <c r="B20" t="s">
        <v>39</v>
      </c>
      <c r="C20">
        <v>82.35</v>
      </c>
      <c r="D20">
        <v>1152.5900000000001</v>
      </c>
      <c r="E20">
        <v>1103.69</v>
      </c>
      <c r="F20">
        <v>95.757381202335594</v>
      </c>
      <c r="G20">
        <v>0.55794376114528554</v>
      </c>
    </row>
    <row r="21" spans="1:7" x14ac:dyDescent="0.25">
      <c r="A21">
        <v>620</v>
      </c>
      <c r="B21" t="s">
        <v>38</v>
      </c>
      <c r="C21">
        <v>81.819999999999993</v>
      </c>
      <c r="D21">
        <v>1225.3800000000001</v>
      </c>
      <c r="E21">
        <v>1201.4000000000001</v>
      </c>
      <c r="F21">
        <v>98.043056031598368</v>
      </c>
      <c r="G21">
        <v>0.53805962940272156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DE1E2-A096-430D-AA06-41AF64133D88}">
  <dimension ref="A1:G7"/>
  <sheetViews>
    <sheetView workbookViewId="0">
      <selection activeCell="C4" sqref="C4"/>
    </sheetView>
  </sheetViews>
  <sheetFormatPr defaultRowHeight="15" x14ac:dyDescent="0.25"/>
  <cols>
    <col min="1" max="1" width="17.7109375" bestFit="1" customWidth="1"/>
    <col min="2" max="2" width="9.5703125" bestFit="1" customWidth="1"/>
    <col min="3" max="3" width="8.28515625" bestFit="1" customWidth="1"/>
    <col min="4" max="4" width="14.7109375" bestFit="1" customWidth="1"/>
    <col min="5" max="5" width="19.7109375" bestFit="1" customWidth="1"/>
    <col min="6" max="6" width="26.7109375" bestFit="1" customWidth="1"/>
    <col min="7" max="7" width="17.140625" bestFit="1" customWidth="1"/>
  </cols>
  <sheetData>
    <row r="1" spans="1:7" x14ac:dyDescent="0.25">
      <c r="A1" t="s">
        <v>61</v>
      </c>
      <c r="B1" t="s">
        <v>34</v>
      </c>
      <c r="C1" t="s">
        <v>62</v>
      </c>
      <c r="D1" t="s">
        <v>63</v>
      </c>
      <c r="E1" t="s">
        <v>106</v>
      </c>
      <c r="F1" t="s">
        <v>64</v>
      </c>
      <c r="G1" t="s">
        <v>65</v>
      </c>
    </row>
    <row r="2" spans="1:7" x14ac:dyDescent="0.25">
      <c r="A2" t="s">
        <v>66</v>
      </c>
      <c r="B2" t="s">
        <v>38</v>
      </c>
      <c r="C2">
        <v>1574</v>
      </c>
      <c r="D2">
        <v>55074.199999999975</v>
      </c>
      <c r="E2">
        <v>34.99</v>
      </c>
      <c r="F2">
        <v>7.64</v>
      </c>
      <c r="G2">
        <v>0.20300000000000001</v>
      </c>
    </row>
    <row r="3" spans="1:7" x14ac:dyDescent="0.25">
      <c r="A3" t="s">
        <v>66</v>
      </c>
      <c r="B3" t="s">
        <v>39</v>
      </c>
      <c r="C3">
        <v>2389</v>
      </c>
      <c r="D3">
        <v>86499.130000000179</v>
      </c>
      <c r="E3">
        <v>36.21</v>
      </c>
      <c r="F3">
        <v>12</v>
      </c>
      <c r="G3">
        <v>0.20300000000000001</v>
      </c>
    </row>
    <row r="4" spans="1:7" x14ac:dyDescent="0.25">
      <c r="A4" t="s">
        <v>67</v>
      </c>
      <c r="B4" t="s">
        <v>38</v>
      </c>
      <c r="C4">
        <v>2384</v>
      </c>
      <c r="D4">
        <v>181188.21999999997</v>
      </c>
      <c r="E4">
        <v>76</v>
      </c>
      <c r="F4">
        <v>25.13</v>
      </c>
      <c r="G4">
        <v>0.45600000000000002</v>
      </c>
    </row>
    <row r="5" spans="1:7" x14ac:dyDescent="0.25">
      <c r="A5" t="s">
        <v>67</v>
      </c>
      <c r="B5" t="s">
        <v>39</v>
      </c>
      <c r="C5">
        <v>3764</v>
      </c>
      <c r="D5">
        <v>279684.0399999998</v>
      </c>
      <c r="E5">
        <v>74.31</v>
      </c>
      <c r="F5">
        <v>38.79</v>
      </c>
      <c r="G5">
        <v>0.45400000000000001</v>
      </c>
    </row>
    <row r="6" spans="1:7" x14ac:dyDescent="0.25">
      <c r="A6" t="s">
        <v>68</v>
      </c>
      <c r="B6" t="s">
        <v>38</v>
      </c>
      <c r="C6">
        <v>323</v>
      </c>
      <c r="D6">
        <v>42117.570000000007</v>
      </c>
      <c r="E6">
        <v>130.38999999999999</v>
      </c>
      <c r="F6">
        <v>5.84</v>
      </c>
      <c r="G6">
        <v>0.80100000000000005</v>
      </c>
    </row>
    <row r="7" spans="1:7" x14ac:dyDescent="0.25">
      <c r="A7" t="s">
        <v>68</v>
      </c>
      <c r="B7" t="s">
        <v>39</v>
      </c>
      <c r="C7">
        <v>566</v>
      </c>
      <c r="D7">
        <v>76418.529999999941</v>
      </c>
      <c r="E7">
        <v>135.02000000000001</v>
      </c>
      <c r="F7">
        <v>10.6</v>
      </c>
      <c r="G7">
        <v>0.79300000000000004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8F79-65C3-4C77-A89B-80D49146811F}">
  <dimension ref="A1:I99"/>
  <sheetViews>
    <sheetView topLeftCell="A10" workbookViewId="0">
      <selection activeCell="C4" sqref="C4"/>
    </sheetView>
  </sheetViews>
  <sheetFormatPr defaultRowHeight="15" x14ac:dyDescent="0.25"/>
  <cols>
    <col min="1" max="1" width="9.5703125" bestFit="1" customWidth="1"/>
    <col min="2" max="2" width="15.42578125" bestFit="1" customWidth="1"/>
    <col min="3" max="3" width="16.28515625" bestFit="1" customWidth="1"/>
    <col min="4" max="4" width="13.140625" bestFit="1" customWidth="1"/>
    <col min="5" max="5" width="13.7109375" bestFit="1" customWidth="1"/>
    <col min="6" max="6" width="16.42578125" bestFit="1" customWidth="1"/>
    <col min="7" max="7" width="17.85546875" bestFit="1" customWidth="1"/>
    <col min="8" max="8" width="20.42578125" bestFit="1" customWidth="1"/>
    <col min="9" max="9" width="25" bestFit="1" customWidth="1"/>
  </cols>
  <sheetData>
    <row r="1" spans="1:9" x14ac:dyDescent="0.25">
      <c r="A1" t="s">
        <v>34</v>
      </c>
      <c r="B1" t="s">
        <v>13</v>
      </c>
      <c r="C1" t="s">
        <v>96</v>
      </c>
      <c r="D1" t="s">
        <v>0</v>
      </c>
      <c r="E1" t="s">
        <v>75</v>
      </c>
      <c r="F1" t="s">
        <v>8</v>
      </c>
      <c r="G1" t="s">
        <v>97</v>
      </c>
      <c r="H1" t="s">
        <v>98</v>
      </c>
      <c r="I1" t="s">
        <v>60</v>
      </c>
    </row>
    <row r="2" spans="1:9" x14ac:dyDescent="0.25">
      <c r="A2" t="s">
        <v>38</v>
      </c>
      <c r="B2" t="s">
        <v>25</v>
      </c>
      <c r="C2" t="s">
        <v>99</v>
      </c>
      <c r="D2">
        <v>56</v>
      </c>
      <c r="E2">
        <v>10</v>
      </c>
      <c r="F2">
        <v>17.86</v>
      </c>
      <c r="G2">
        <v>99.93</v>
      </c>
      <c r="H2">
        <v>1657.3</v>
      </c>
      <c r="I2">
        <v>29.62</v>
      </c>
    </row>
    <row r="3" spans="1:9" x14ac:dyDescent="0.25">
      <c r="A3" t="s">
        <v>38</v>
      </c>
      <c r="B3" t="s">
        <v>25</v>
      </c>
      <c r="C3" t="s">
        <v>100</v>
      </c>
      <c r="D3">
        <v>67</v>
      </c>
      <c r="E3">
        <v>45</v>
      </c>
      <c r="F3">
        <v>67.16</v>
      </c>
      <c r="G3">
        <v>108.38</v>
      </c>
      <c r="H3">
        <v>4705.74</v>
      </c>
      <c r="I3">
        <v>64.81</v>
      </c>
    </row>
    <row r="4" spans="1:9" x14ac:dyDescent="0.25">
      <c r="A4" t="s">
        <v>38</v>
      </c>
      <c r="B4" t="s">
        <v>25</v>
      </c>
      <c r="C4" t="s">
        <v>101</v>
      </c>
      <c r="D4">
        <v>195</v>
      </c>
      <c r="E4">
        <v>4</v>
      </c>
      <c r="F4">
        <v>2.0499999999999998</v>
      </c>
      <c r="G4">
        <v>44.79</v>
      </c>
      <c r="H4">
        <v>360.66</v>
      </c>
      <c r="I4">
        <v>4.13</v>
      </c>
    </row>
    <row r="5" spans="1:9" x14ac:dyDescent="0.25">
      <c r="A5" t="s">
        <v>38</v>
      </c>
      <c r="B5" t="s">
        <v>25</v>
      </c>
      <c r="C5" t="s">
        <v>102</v>
      </c>
      <c r="D5">
        <v>187</v>
      </c>
      <c r="E5">
        <v>6</v>
      </c>
      <c r="F5">
        <v>3.21</v>
      </c>
      <c r="G5">
        <v>47.52</v>
      </c>
      <c r="H5">
        <v>602.6</v>
      </c>
      <c r="I5">
        <v>6.78</v>
      </c>
    </row>
    <row r="6" spans="1:9" x14ac:dyDescent="0.25">
      <c r="A6" t="s">
        <v>38</v>
      </c>
      <c r="B6" t="s">
        <v>25</v>
      </c>
      <c r="C6" t="s">
        <v>103</v>
      </c>
      <c r="D6">
        <v>163</v>
      </c>
      <c r="E6">
        <v>7</v>
      </c>
      <c r="F6">
        <v>4.29</v>
      </c>
      <c r="G6">
        <v>50.69</v>
      </c>
      <c r="H6">
        <v>882.3</v>
      </c>
      <c r="I6">
        <v>10.68</v>
      </c>
    </row>
    <row r="7" spans="1:9" x14ac:dyDescent="0.25">
      <c r="A7" t="s">
        <v>38</v>
      </c>
      <c r="B7" t="s">
        <v>25</v>
      </c>
      <c r="C7" t="s">
        <v>104</v>
      </c>
      <c r="D7">
        <v>116</v>
      </c>
      <c r="E7">
        <v>79</v>
      </c>
      <c r="F7">
        <v>68.099999999999994</v>
      </c>
      <c r="G7">
        <v>87.45</v>
      </c>
      <c r="H7">
        <v>7014.29</v>
      </c>
      <c r="I7">
        <v>69.14</v>
      </c>
    </row>
    <row r="8" spans="1:9" x14ac:dyDescent="0.25">
      <c r="A8" t="s">
        <v>38</v>
      </c>
      <c r="B8" t="s">
        <v>25</v>
      </c>
      <c r="C8" t="s">
        <v>105</v>
      </c>
      <c r="D8">
        <v>68</v>
      </c>
      <c r="E8">
        <v>29</v>
      </c>
      <c r="F8">
        <v>42.65</v>
      </c>
      <c r="G8">
        <v>118.72</v>
      </c>
      <c r="H8">
        <v>3837.44</v>
      </c>
      <c r="I8">
        <v>47.53</v>
      </c>
    </row>
    <row r="9" spans="1:9" x14ac:dyDescent="0.25">
      <c r="A9" t="s">
        <v>38</v>
      </c>
      <c r="B9" t="s">
        <v>17</v>
      </c>
      <c r="C9" t="s">
        <v>99</v>
      </c>
      <c r="D9">
        <v>47</v>
      </c>
      <c r="E9">
        <v>22</v>
      </c>
      <c r="F9">
        <v>46.81</v>
      </c>
      <c r="G9">
        <v>37.35</v>
      </c>
      <c r="H9">
        <v>1755.6</v>
      </c>
      <c r="I9">
        <v>100</v>
      </c>
    </row>
    <row r="10" spans="1:9" x14ac:dyDescent="0.25">
      <c r="A10" t="s">
        <v>38</v>
      </c>
      <c r="B10" t="s">
        <v>17</v>
      </c>
      <c r="C10" t="s">
        <v>100</v>
      </c>
      <c r="D10">
        <v>74</v>
      </c>
      <c r="E10">
        <v>64</v>
      </c>
      <c r="F10">
        <v>86.49</v>
      </c>
      <c r="G10">
        <v>27.84</v>
      </c>
      <c r="H10">
        <v>2060.34</v>
      </c>
      <c r="I10">
        <v>100</v>
      </c>
    </row>
    <row r="11" spans="1:9" x14ac:dyDescent="0.25">
      <c r="A11" t="s">
        <v>38</v>
      </c>
      <c r="B11" t="s">
        <v>17</v>
      </c>
      <c r="C11" t="s">
        <v>101</v>
      </c>
      <c r="D11">
        <v>114</v>
      </c>
      <c r="E11">
        <v>13</v>
      </c>
      <c r="F11">
        <v>11.4</v>
      </c>
      <c r="G11">
        <v>36.549999999999997</v>
      </c>
      <c r="H11">
        <v>154.63999999999999</v>
      </c>
      <c r="I11">
        <v>3.71</v>
      </c>
    </row>
    <row r="12" spans="1:9" x14ac:dyDescent="0.25">
      <c r="A12" t="s">
        <v>38</v>
      </c>
      <c r="B12" t="s">
        <v>17</v>
      </c>
      <c r="C12" t="s">
        <v>102</v>
      </c>
      <c r="D12">
        <v>119</v>
      </c>
      <c r="E12">
        <v>10</v>
      </c>
      <c r="F12">
        <v>8.4</v>
      </c>
      <c r="G12">
        <v>22.84</v>
      </c>
      <c r="H12">
        <v>1606.76</v>
      </c>
      <c r="I12">
        <v>59.11</v>
      </c>
    </row>
    <row r="13" spans="1:9" x14ac:dyDescent="0.25">
      <c r="A13" t="s">
        <v>38</v>
      </c>
      <c r="B13" t="s">
        <v>17</v>
      </c>
      <c r="C13" t="s">
        <v>103</v>
      </c>
      <c r="D13">
        <v>113</v>
      </c>
      <c r="E13">
        <v>13</v>
      </c>
      <c r="F13">
        <v>11.5</v>
      </c>
      <c r="G13">
        <v>18.54</v>
      </c>
      <c r="H13">
        <v>246.19</v>
      </c>
      <c r="I13">
        <v>11.75</v>
      </c>
    </row>
    <row r="14" spans="1:9" x14ac:dyDescent="0.25">
      <c r="A14" t="s">
        <v>38</v>
      </c>
      <c r="B14" t="s">
        <v>17</v>
      </c>
      <c r="C14" t="s">
        <v>104</v>
      </c>
      <c r="D14">
        <v>100</v>
      </c>
      <c r="E14">
        <v>78</v>
      </c>
      <c r="F14">
        <v>78</v>
      </c>
      <c r="G14">
        <v>33.6</v>
      </c>
      <c r="H14">
        <v>2631.93</v>
      </c>
      <c r="I14">
        <v>78.34</v>
      </c>
    </row>
    <row r="15" spans="1:9" x14ac:dyDescent="0.25">
      <c r="A15" t="s">
        <v>38</v>
      </c>
      <c r="B15" t="s">
        <v>17</v>
      </c>
      <c r="C15" t="s">
        <v>105</v>
      </c>
      <c r="D15">
        <v>46</v>
      </c>
      <c r="E15">
        <v>18</v>
      </c>
      <c r="F15">
        <v>39.130000000000003</v>
      </c>
      <c r="G15">
        <v>24.14</v>
      </c>
      <c r="H15">
        <v>822.61</v>
      </c>
      <c r="I15">
        <v>74.069999999999993</v>
      </c>
    </row>
    <row r="16" spans="1:9" x14ac:dyDescent="0.25">
      <c r="A16" t="s">
        <v>38</v>
      </c>
      <c r="B16" t="s">
        <v>23</v>
      </c>
      <c r="C16" t="s">
        <v>99</v>
      </c>
      <c r="D16">
        <v>29</v>
      </c>
      <c r="E16">
        <v>6</v>
      </c>
      <c r="F16">
        <v>20.69</v>
      </c>
      <c r="G16">
        <v>157.25</v>
      </c>
      <c r="H16">
        <v>1002.44</v>
      </c>
      <c r="I16">
        <v>21.98</v>
      </c>
    </row>
    <row r="17" spans="1:9" x14ac:dyDescent="0.25">
      <c r="A17" t="s">
        <v>38</v>
      </c>
      <c r="B17" t="s">
        <v>23</v>
      </c>
      <c r="C17" t="s">
        <v>100</v>
      </c>
      <c r="D17">
        <v>34</v>
      </c>
      <c r="E17">
        <v>20</v>
      </c>
      <c r="F17">
        <v>58.82</v>
      </c>
      <c r="G17">
        <v>75.66</v>
      </c>
      <c r="H17">
        <v>1676.16</v>
      </c>
      <c r="I17">
        <v>65.150000000000006</v>
      </c>
    </row>
    <row r="18" spans="1:9" x14ac:dyDescent="0.25">
      <c r="A18" t="s">
        <v>38</v>
      </c>
      <c r="B18" t="s">
        <v>23</v>
      </c>
      <c r="C18" t="s">
        <v>101</v>
      </c>
      <c r="D18">
        <v>91</v>
      </c>
      <c r="E18">
        <v>1</v>
      </c>
      <c r="F18">
        <v>1.1000000000000001</v>
      </c>
      <c r="G18">
        <v>33.909999999999997</v>
      </c>
      <c r="H18">
        <v>15.6</v>
      </c>
      <c r="I18">
        <v>0.51</v>
      </c>
    </row>
    <row r="19" spans="1:9" x14ac:dyDescent="0.25">
      <c r="A19" t="s">
        <v>38</v>
      </c>
      <c r="B19" t="s">
        <v>23</v>
      </c>
      <c r="C19" t="s">
        <v>102</v>
      </c>
      <c r="D19">
        <v>93</v>
      </c>
      <c r="E19">
        <v>1</v>
      </c>
      <c r="F19">
        <v>1.08</v>
      </c>
      <c r="G19">
        <v>65.040000000000006</v>
      </c>
      <c r="H19">
        <v>139.86000000000001</v>
      </c>
      <c r="I19">
        <v>2.31</v>
      </c>
    </row>
    <row r="20" spans="1:9" x14ac:dyDescent="0.25">
      <c r="A20" t="s">
        <v>38</v>
      </c>
      <c r="B20" t="s">
        <v>23</v>
      </c>
      <c r="C20" t="s">
        <v>103</v>
      </c>
      <c r="D20">
        <v>106</v>
      </c>
      <c r="E20">
        <v>5</v>
      </c>
      <c r="F20">
        <v>4.72</v>
      </c>
      <c r="G20">
        <v>52.75</v>
      </c>
      <c r="H20">
        <v>269.68</v>
      </c>
      <c r="I20">
        <v>4.82</v>
      </c>
    </row>
    <row r="21" spans="1:9" x14ac:dyDescent="0.25">
      <c r="A21" t="s">
        <v>38</v>
      </c>
      <c r="B21" t="s">
        <v>23</v>
      </c>
      <c r="C21" t="s">
        <v>104</v>
      </c>
      <c r="D21">
        <v>57</v>
      </c>
      <c r="E21">
        <v>44</v>
      </c>
      <c r="F21">
        <v>77.19</v>
      </c>
      <c r="G21">
        <v>151.96</v>
      </c>
      <c r="H21">
        <v>6371.51</v>
      </c>
      <c r="I21">
        <v>73.56</v>
      </c>
    </row>
    <row r="22" spans="1:9" x14ac:dyDescent="0.25">
      <c r="A22" t="s">
        <v>38</v>
      </c>
      <c r="B22" t="s">
        <v>23</v>
      </c>
      <c r="C22" t="s">
        <v>105</v>
      </c>
      <c r="D22">
        <v>48</v>
      </c>
      <c r="E22">
        <v>17</v>
      </c>
      <c r="F22">
        <v>35.42</v>
      </c>
      <c r="G22">
        <v>101.3</v>
      </c>
      <c r="H22">
        <v>2518.91</v>
      </c>
      <c r="I22">
        <v>51.8</v>
      </c>
    </row>
    <row r="23" spans="1:9" x14ac:dyDescent="0.25">
      <c r="A23" t="s">
        <v>38</v>
      </c>
      <c r="B23" t="s">
        <v>16</v>
      </c>
      <c r="C23" t="s">
        <v>99</v>
      </c>
      <c r="D23">
        <v>93</v>
      </c>
      <c r="E23">
        <v>46</v>
      </c>
      <c r="F23">
        <v>49.46</v>
      </c>
      <c r="G23">
        <v>89.25</v>
      </c>
      <c r="H23">
        <v>6886.87</v>
      </c>
      <c r="I23">
        <v>82.97</v>
      </c>
    </row>
    <row r="24" spans="1:9" x14ac:dyDescent="0.25">
      <c r="A24" t="s">
        <v>38</v>
      </c>
      <c r="B24" t="s">
        <v>16</v>
      </c>
      <c r="C24" t="s">
        <v>100</v>
      </c>
      <c r="D24">
        <v>67</v>
      </c>
      <c r="E24">
        <v>57</v>
      </c>
      <c r="F24">
        <v>85.07</v>
      </c>
      <c r="G24">
        <v>125.94</v>
      </c>
      <c r="H24">
        <v>8265.33</v>
      </c>
      <c r="I24">
        <v>97.95</v>
      </c>
    </row>
    <row r="25" spans="1:9" x14ac:dyDescent="0.25">
      <c r="A25" t="s">
        <v>38</v>
      </c>
      <c r="B25" t="s">
        <v>16</v>
      </c>
      <c r="C25" t="s">
        <v>101</v>
      </c>
      <c r="D25">
        <v>203</v>
      </c>
      <c r="E25">
        <v>41</v>
      </c>
      <c r="F25">
        <v>20.2</v>
      </c>
      <c r="G25">
        <v>56.11</v>
      </c>
      <c r="H25">
        <v>3760.11</v>
      </c>
      <c r="I25">
        <v>33.01</v>
      </c>
    </row>
    <row r="26" spans="1:9" x14ac:dyDescent="0.25">
      <c r="A26" t="s">
        <v>38</v>
      </c>
      <c r="B26" t="s">
        <v>16</v>
      </c>
      <c r="C26" t="s">
        <v>102</v>
      </c>
      <c r="D26">
        <v>189</v>
      </c>
      <c r="E26">
        <v>28</v>
      </c>
      <c r="F26">
        <v>14.81</v>
      </c>
      <c r="G26">
        <v>55.24</v>
      </c>
      <c r="H26">
        <v>3295.09</v>
      </c>
      <c r="I26">
        <v>31.56</v>
      </c>
    </row>
    <row r="27" spans="1:9" x14ac:dyDescent="0.25">
      <c r="A27" t="s">
        <v>38</v>
      </c>
      <c r="B27" t="s">
        <v>16</v>
      </c>
      <c r="C27" t="s">
        <v>103</v>
      </c>
      <c r="D27">
        <v>218</v>
      </c>
      <c r="E27">
        <v>31</v>
      </c>
      <c r="F27">
        <v>14.22</v>
      </c>
      <c r="G27">
        <v>61.8</v>
      </c>
      <c r="H27">
        <v>3876.18</v>
      </c>
      <c r="I27">
        <v>28.77</v>
      </c>
    </row>
    <row r="28" spans="1:9" x14ac:dyDescent="0.25">
      <c r="A28" t="s">
        <v>38</v>
      </c>
      <c r="B28" t="s">
        <v>16</v>
      </c>
      <c r="C28" t="s">
        <v>104</v>
      </c>
      <c r="D28">
        <v>173</v>
      </c>
      <c r="E28">
        <v>144</v>
      </c>
      <c r="F28">
        <v>83.24</v>
      </c>
      <c r="G28">
        <v>113.11</v>
      </c>
      <c r="H28">
        <v>18846.650000000001</v>
      </c>
      <c r="I28">
        <v>96.31</v>
      </c>
    </row>
    <row r="29" spans="1:9" x14ac:dyDescent="0.25">
      <c r="A29" t="s">
        <v>38</v>
      </c>
      <c r="B29" t="s">
        <v>16</v>
      </c>
      <c r="C29" t="s">
        <v>105</v>
      </c>
      <c r="D29">
        <v>150</v>
      </c>
      <c r="E29">
        <v>84</v>
      </c>
      <c r="F29">
        <v>56</v>
      </c>
      <c r="G29">
        <v>114.1</v>
      </c>
      <c r="H29">
        <v>15166.45</v>
      </c>
      <c r="I29">
        <v>88.61</v>
      </c>
    </row>
    <row r="30" spans="1:9" x14ac:dyDescent="0.25">
      <c r="A30" t="s">
        <v>38</v>
      </c>
      <c r="B30" t="s">
        <v>24</v>
      </c>
      <c r="C30" t="s">
        <v>99</v>
      </c>
      <c r="D30">
        <v>28</v>
      </c>
      <c r="E30">
        <v>4</v>
      </c>
      <c r="F30">
        <v>14.29</v>
      </c>
      <c r="G30">
        <v>91.51</v>
      </c>
      <c r="H30">
        <v>1005.87</v>
      </c>
      <c r="I30">
        <v>39.26</v>
      </c>
    </row>
    <row r="31" spans="1:9" x14ac:dyDescent="0.25">
      <c r="A31" t="s">
        <v>38</v>
      </c>
      <c r="B31" t="s">
        <v>24</v>
      </c>
      <c r="C31" t="s">
        <v>100</v>
      </c>
      <c r="D31">
        <v>51</v>
      </c>
      <c r="E31">
        <v>43</v>
      </c>
      <c r="F31">
        <v>84.31</v>
      </c>
      <c r="G31">
        <v>104.08</v>
      </c>
      <c r="H31">
        <v>3562.24</v>
      </c>
      <c r="I31">
        <v>67.11</v>
      </c>
    </row>
    <row r="32" spans="1:9" x14ac:dyDescent="0.25">
      <c r="A32" t="s">
        <v>38</v>
      </c>
      <c r="B32" t="s">
        <v>24</v>
      </c>
      <c r="C32" t="s">
        <v>101</v>
      </c>
      <c r="D32">
        <v>137</v>
      </c>
      <c r="E32">
        <v>3</v>
      </c>
      <c r="F32">
        <v>2.19</v>
      </c>
      <c r="G32">
        <v>44.4</v>
      </c>
      <c r="H32">
        <v>439.32</v>
      </c>
      <c r="I32">
        <v>7.22</v>
      </c>
    </row>
    <row r="33" spans="1:9" x14ac:dyDescent="0.25">
      <c r="A33" t="s">
        <v>38</v>
      </c>
      <c r="B33" t="s">
        <v>24</v>
      </c>
      <c r="C33" t="s">
        <v>102</v>
      </c>
      <c r="D33">
        <v>124</v>
      </c>
      <c r="E33">
        <v>4</v>
      </c>
      <c r="F33">
        <v>3.23</v>
      </c>
      <c r="G33">
        <v>47.95</v>
      </c>
      <c r="H33">
        <v>630.54999999999995</v>
      </c>
      <c r="I33">
        <v>10.61</v>
      </c>
    </row>
    <row r="34" spans="1:9" x14ac:dyDescent="0.25">
      <c r="A34" t="s">
        <v>38</v>
      </c>
      <c r="B34" t="s">
        <v>24</v>
      </c>
      <c r="C34" t="s">
        <v>103</v>
      </c>
      <c r="D34">
        <v>136</v>
      </c>
      <c r="E34">
        <v>3</v>
      </c>
      <c r="F34">
        <v>2.21</v>
      </c>
      <c r="G34">
        <v>59.25</v>
      </c>
      <c r="H34">
        <v>627.55999999999995</v>
      </c>
      <c r="I34">
        <v>7.79</v>
      </c>
    </row>
    <row r="35" spans="1:9" x14ac:dyDescent="0.25">
      <c r="A35" t="s">
        <v>38</v>
      </c>
      <c r="B35" t="s">
        <v>24</v>
      </c>
      <c r="C35" t="s">
        <v>104</v>
      </c>
      <c r="D35">
        <v>81</v>
      </c>
      <c r="E35">
        <v>51</v>
      </c>
      <c r="F35">
        <v>62.96</v>
      </c>
      <c r="G35">
        <v>161.19999999999999</v>
      </c>
      <c r="H35">
        <v>9165.2900000000009</v>
      </c>
      <c r="I35">
        <v>70.19</v>
      </c>
    </row>
    <row r="36" spans="1:9" x14ac:dyDescent="0.25">
      <c r="A36" t="s">
        <v>38</v>
      </c>
      <c r="B36" t="s">
        <v>24</v>
      </c>
      <c r="C36" t="s">
        <v>105</v>
      </c>
      <c r="D36">
        <v>64</v>
      </c>
      <c r="E36">
        <v>21</v>
      </c>
      <c r="F36">
        <v>32.81</v>
      </c>
      <c r="G36">
        <v>106.82</v>
      </c>
      <c r="H36">
        <v>3821.01</v>
      </c>
      <c r="I36">
        <v>55.89</v>
      </c>
    </row>
    <row r="37" spans="1:9" x14ac:dyDescent="0.25">
      <c r="A37" t="s">
        <v>38</v>
      </c>
      <c r="B37" t="s">
        <v>18</v>
      </c>
      <c r="C37" t="s">
        <v>99</v>
      </c>
      <c r="D37">
        <v>11</v>
      </c>
      <c r="E37">
        <v>5</v>
      </c>
      <c r="F37">
        <v>45.45</v>
      </c>
      <c r="G37">
        <v>42.92</v>
      </c>
      <c r="H37">
        <v>472.1</v>
      </c>
      <c r="I37">
        <v>100</v>
      </c>
    </row>
    <row r="38" spans="1:9" x14ac:dyDescent="0.25">
      <c r="A38" t="s">
        <v>38</v>
      </c>
      <c r="B38" t="s">
        <v>18</v>
      </c>
      <c r="C38" t="s">
        <v>100</v>
      </c>
      <c r="D38">
        <v>27</v>
      </c>
      <c r="E38">
        <v>20</v>
      </c>
      <c r="F38">
        <v>74.069999999999993</v>
      </c>
      <c r="G38">
        <v>22.48</v>
      </c>
      <c r="H38">
        <v>606.91999999999996</v>
      </c>
      <c r="I38">
        <v>100</v>
      </c>
    </row>
    <row r="39" spans="1:9" x14ac:dyDescent="0.25">
      <c r="A39" t="s">
        <v>38</v>
      </c>
      <c r="B39" t="s">
        <v>18</v>
      </c>
      <c r="C39" t="s">
        <v>101</v>
      </c>
      <c r="D39">
        <v>51</v>
      </c>
      <c r="E39">
        <v>7</v>
      </c>
      <c r="F39">
        <v>13.73</v>
      </c>
      <c r="G39">
        <v>14.45</v>
      </c>
      <c r="H39">
        <v>64.58</v>
      </c>
      <c r="I39">
        <v>8.76</v>
      </c>
    </row>
    <row r="40" spans="1:9" x14ac:dyDescent="0.25">
      <c r="A40" t="s">
        <v>38</v>
      </c>
      <c r="B40" t="s">
        <v>18</v>
      </c>
      <c r="C40" t="s">
        <v>102</v>
      </c>
      <c r="D40">
        <v>43</v>
      </c>
      <c r="E40">
        <v>5</v>
      </c>
      <c r="F40">
        <v>11.63</v>
      </c>
      <c r="G40">
        <v>19.45</v>
      </c>
      <c r="H40">
        <v>65.77</v>
      </c>
      <c r="I40">
        <v>7.86</v>
      </c>
    </row>
    <row r="41" spans="1:9" x14ac:dyDescent="0.25">
      <c r="A41" t="s">
        <v>38</v>
      </c>
      <c r="B41" t="s">
        <v>18</v>
      </c>
      <c r="C41" t="s">
        <v>103</v>
      </c>
      <c r="D41">
        <v>52</v>
      </c>
      <c r="E41">
        <v>3</v>
      </c>
      <c r="F41">
        <v>5.77</v>
      </c>
      <c r="G41">
        <v>27.94</v>
      </c>
      <c r="H41">
        <v>138.35</v>
      </c>
      <c r="I41">
        <v>9.52</v>
      </c>
    </row>
    <row r="42" spans="1:9" x14ac:dyDescent="0.25">
      <c r="A42" t="s">
        <v>38</v>
      </c>
      <c r="B42" t="s">
        <v>18</v>
      </c>
      <c r="C42" t="s">
        <v>104</v>
      </c>
      <c r="D42">
        <v>38</v>
      </c>
      <c r="E42">
        <v>33</v>
      </c>
      <c r="F42">
        <v>86.84</v>
      </c>
      <c r="G42">
        <v>43.51</v>
      </c>
      <c r="H42">
        <v>1377.55</v>
      </c>
      <c r="I42">
        <v>83.31</v>
      </c>
    </row>
    <row r="43" spans="1:9" x14ac:dyDescent="0.25">
      <c r="A43" t="s">
        <v>38</v>
      </c>
      <c r="B43" t="s">
        <v>18</v>
      </c>
      <c r="C43" t="s">
        <v>105</v>
      </c>
      <c r="D43">
        <v>17</v>
      </c>
      <c r="E43">
        <v>3</v>
      </c>
      <c r="F43">
        <v>17.649999999999999</v>
      </c>
      <c r="G43">
        <v>9.42</v>
      </c>
      <c r="H43">
        <v>135.87</v>
      </c>
      <c r="I43">
        <v>84.82</v>
      </c>
    </row>
    <row r="44" spans="1:9" x14ac:dyDescent="0.25">
      <c r="A44" t="s">
        <v>38</v>
      </c>
      <c r="B44" t="s">
        <v>26</v>
      </c>
      <c r="C44" t="s">
        <v>99</v>
      </c>
      <c r="D44">
        <v>21</v>
      </c>
      <c r="E44">
        <v>1</v>
      </c>
      <c r="F44">
        <v>4.76</v>
      </c>
      <c r="G44">
        <v>43.93</v>
      </c>
      <c r="H44">
        <v>173.03</v>
      </c>
      <c r="I44">
        <v>18.75</v>
      </c>
    </row>
    <row r="45" spans="1:9" x14ac:dyDescent="0.25">
      <c r="A45" t="s">
        <v>38</v>
      </c>
      <c r="B45" t="s">
        <v>26</v>
      </c>
      <c r="C45" t="s">
        <v>100</v>
      </c>
      <c r="D45">
        <v>36</v>
      </c>
      <c r="E45">
        <v>34</v>
      </c>
      <c r="F45">
        <v>94.44</v>
      </c>
      <c r="G45">
        <v>120.86</v>
      </c>
      <c r="H45">
        <v>4221.17</v>
      </c>
      <c r="I45">
        <v>97.02</v>
      </c>
    </row>
    <row r="46" spans="1:9" x14ac:dyDescent="0.25">
      <c r="A46" t="s">
        <v>38</v>
      </c>
      <c r="B46" t="s">
        <v>26</v>
      </c>
      <c r="C46" t="s">
        <v>101</v>
      </c>
      <c r="D46">
        <v>95</v>
      </c>
      <c r="E46">
        <v>0</v>
      </c>
      <c r="F46">
        <v>0</v>
      </c>
      <c r="G46">
        <v>40.119999999999997</v>
      </c>
      <c r="H46">
        <v>0</v>
      </c>
      <c r="I46">
        <v>0</v>
      </c>
    </row>
    <row r="47" spans="1:9" x14ac:dyDescent="0.25">
      <c r="A47" t="s">
        <v>38</v>
      </c>
      <c r="B47" t="s">
        <v>26</v>
      </c>
      <c r="C47" t="s">
        <v>102</v>
      </c>
      <c r="D47">
        <v>93</v>
      </c>
      <c r="E47">
        <v>0</v>
      </c>
      <c r="F47">
        <v>0</v>
      </c>
      <c r="G47">
        <v>53.37</v>
      </c>
      <c r="H47">
        <v>0</v>
      </c>
      <c r="I47">
        <v>0</v>
      </c>
    </row>
    <row r="48" spans="1:9" x14ac:dyDescent="0.25">
      <c r="A48" t="s">
        <v>38</v>
      </c>
      <c r="B48" t="s">
        <v>26</v>
      </c>
      <c r="C48" t="s">
        <v>103</v>
      </c>
      <c r="D48">
        <v>76</v>
      </c>
      <c r="E48">
        <v>7</v>
      </c>
      <c r="F48">
        <v>9.2100000000000009</v>
      </c>
      <c r="G48">
        <v>60.7</v>
      </c>
      <c r="H48">
        <v>1199.1500000000001</v>
      </c>
      <c r="I48">
        <v>25.99</v>
      </c>
    </row>
    <row r="49" spans="1:9" x14ac:dyDescent="0.25">
      <c r="A49" t="s">
        <v>38</v>
      </c>
      <c r="B49" t="s">
        <v>26</v>
      </c>
      <c r="C49" t="s">
        <v>104</v>
      </c>
      <c r="D49">
        <v>54</v>
      </c>
      <c r="E49">
        <v>36</v>
      </c>
      <c r="F49">
        <v>66.67</v>
      </c>
      <c r="G49">
        <v>94.65</v>
      </c>
      <c r="H49">
        <v>3946.95</v>
      </c>
      <c r="I49">
        <v>77.23</v>
      </c>
    </row>
    <row r="50" spans="1:9" x14ac:dyDescent="0.25">
      <c r="A50" t="s">
        <v>38</v>
      </c>
      <c r="B50" t="s">
        <v>26</v>
      </c>
      <c r="C50" t="s">
        <v>105</v>
      </c>
      <c r="D50">
        <v>30</v>
      </c>
      <c r="E50">
        <v>4</v>
      </c>
      <c r="F50">
        <v>13.33</v>
      </c>
      <c r="G50">
        <v>83.55</v>
      </c>
      <c r="H50">
        <v>681.44</v>
      </c>
      <c r="I50">
        <v>27.19</v>
      </c>
    </row>
    <row r="51" spans="1:9" x14ac:dyDescent="0.25">
      <c r="A51" t="s">
        <v>39</v>
      </c>
      <c r="B51" t="s">
        <v>25</v>
      </c>
      <c r="C51" t="s">
        <v>99</v>
      </c>
      <c r="D51">
        <v>86</v>
      </c>
      <c r="E51">
        <v>13</v>
      </c>
      <c r="F51">
        <v>15.12</v>
      </c>
      <c r="G51">
        <v>91.05</v>
      </c>
      <c r="H51">
        <v>2119.33</v>
      </c>
      <c r="I51">
        <v>27.07</v>
      </c>
    </row>
    <row r="52" spans="1:9" x14ac:dyDescent="0.25">
      <c r="A52" t="s">
        <v>39</v>
      </c>
      <c r="B52" t="s">
        <v>25</v>
      </c>
      <c r="C52" t="s">
        <v>100</v>
      </c>
      <c r="D52">
        <v>106</v>
      </c>
      <c r="E52">
        <v>87</v>
      </c>
      <c r="F52">
        <v>82.08</v>
      </c>
      <c r="G52">
        <v>112.64</v>
      </c>
      <c r="H52">
        <v>10211.15</v>
      </c>
      <c r="I52">
        <v>85.52</v>
      </c>
    </row>
    <row r="53" spans="1:9" x14ac:dyDescent="0.25">
      <c r="A53" t="s">
        <v>39</v>
      </c>
      <c r="B53" t="s">
        <v>25</v>
      </c>
      <c r="C53" t="s">
        <v>101</v>
      </c>
      <c r="D53">
        <v>288</v>
      </c>
      <c r="E53">
        <v>4</v>
      </c>
      <c r="F53">
        <v>1.39</v>
      </c>
      <c r="G53">
        <v>57.18</v>
      </c>
      <c r="H53">
        <v>584.09</v>
      </c>
      <c r="I53">
        <v>3.55</v>
      </c>
    </row>
    <row r="54" spans="1:9" x14ac:dyDescent="0.25">
      <c r="A54" t="s">
        <v>39</v>
      </c>
      <c r="B54" t="s">
        <v>25</v>
      </c>
      <c r="C54" t="s">
        <v>102</v>
      </c>
      <c r="D54">
        <v>303</v>
      </c>
      <c r="E54">
        <v>6</v>
      </c>
      <c r="F54">
        <v>1.98</v>
      </c>
      <c r="G54">
        <v>55.26</v>
      </c>
      <c r="H54">
        <v>947.89</v>
      </c>
      <c r="I54">
        <v>5.66</v>
      </c>
    </row>
    <row r="55" spans="1:9" x14ac:dyDescent="0.25">
      <c r="A55" t="s">
        <v>39</v>
      </c>
      <c r="B55" t="s">
        <v>25</v>
      </c>
      <c r="C55" t="s">
        <v>103</v>
      </c>
      <c r="D55">
        <v>271</v>
      </c>
      <c r="E55">
        <v>7</v>
      </c>
      <c r="F55">
        <v>2.58</v>
      </c>
      <c r="G55">
        <v>52.99</v>
      </c>
      <c r="H55">
        <v>521.07000000000005</v>
      </c>
      <c r="I55">
        <v>3.63</v>
      </c>
    </row>
    <row r="56" spans="1:9" x14ac:dyDescent="0.25">
      <c r="A56" t="s">
        <v>39</v>
      </c>
      <c r="B56" t="s">
        <v>25</v>
      </c>
      <c r="C56" t="s">
        <v>104</v>
      </c>
      <c r="D56">
        <v>190</v>
      </c>
      <c r="E56">
        <v>142</v>
      </c>
      <c r="F56">
        <v>74.739999999999995</v>
      </c>
      <c r="G56">
        <v>96.52</v>
      </c>
      <c r="H56">
        <v>16059.52</v>
      </c>
      <c r="I56">
        <v>87.57</v>
      </c>
    </row>
    <row r="57" spans="1:9" x14ac:dyDescent="0.25">
      <c r="A57" t="s">
        <v>39</v>
      </c>
      <c r="B57" t="s">
        <v>25</v>
      </c>
      <c r="C57" t="s">
        <v>105</v>
      </c>
      <c r="D57">
        <v>126</v>
      </c>
      <c r="E57">
        <v>37</v>
      </c>
      <c r="F57">
        <v>29.37</v>
      </c>
      <c r="G57">
        <v>95.31</v>
      </c>
      <c r="H57">
        <v>3878.03</v>
      </c>
      <c r="I57">
        <v>32.29</v>
      </c>
    </row>
    <row r="58" spans="1:9" x14ac:dyDescent="0.25">
      <c r="A58" t="s">
        <v>39</v>
      </c>
      <c r="B58" t="s">
        <v>17</v>
      </c>
      <c r="C58" t="s">
        <v>99</v>
      </c>
      <c r="D58">
        <v>56</v>
      </c>
      <c r="E58">
        <v>26</v>
      </c>
      <c r="F58">
        <v>46.43</v>
      </c>
      <c r="G58">
        <v>64.92</v>
      </c>
      <c r="H58">
        <v>3635.65</v>
      </c>
      <c r="I58">
        <v>100</v>
      </c>
    </row>
    <row r="59" spans="1:9" x14ac:dyDescent="0.25">
      <c r="A59" t="s">
        <v>39</v>
      </c>
      <c r="B59" t="s">
        <v>17</v>
      </c>
      <c r="C59" t="s">
        <v>100</v>
      </c>
      <c r="D59">
        <v>117</v>
      </c>
      <c r="E59">
        <v>99</v>
      </c>
      <c r="F59">
        <v>84.62</v>
      </c>
      <c r="G59">
        <v>26.34</v>
      </c>
      <c r="H59">
        <v>3081.91</v>
      </c>
      <c r="I59">
        <v>100</v>
      </c>
    </row>
    <row r="60" spans="1:9" x14ac:dyDescent="0.25">
      <c r="A60" t="s">
        <v>39</v>
      </c>
      <c r="B60" t="s">
        <v>17</v>
      </c>
      <c r="C60" t="s">
        <v>101</v>
      </c>
      <c r="D60">
        <v>172</v>
      </c>
      <c r="E60">
        <v>17</v>
      </c>
      <c r="F60">
        <v>9.8800000000000008</v>
      </c>
      <c r="G60">
        <v>17.690000000000001</v>
      </c>
      <c r="H60">
        <v>485.7</v>
      </c>
      <c r="I60">
        <v>15.96</v>
      </c>
    </row>
    <row r="61" spans="1:9" x14ac:dyDescent="0.25">
      <c r="A61" t="s">
        <v>39</v>
      </c>
      <c r="B61" t="s">
        <v>17</v>
      </c>
      <c r="C61" t="s">
        <v>102</v>
      </c>
      <c r="D61">
        <v>190</v>
      </c>
      <c r="E61">
        <v>17</v>
      </c>
      <c r="F61">
        <v>8.9499999999999993</v>
      </c>
      <c r="G61">
        <v>16</v>
      </c>
      <c r="H61">
        <v>498</v>
      </c>
      <c r="I61">
        <v>16.39</v>
      </c>
    </row>
    <row r="62" spans="1:9" x14ac:dyDescent="0.25">
      <c r="A62" t="s">
        <v>39</v>
      </c>
      <c r="B62" t="s">
        <v>17</v>
      </c>
      <c r="C62" t="s">
        <v>103</v>
      </c>
      <c r="D62">
        <v>181</v>
      </c>
      <c r="E62">
        <v>19</v>
      </c>
      <c r="F62">
        <v>10.5</v>
      </c>
      <c r="G62">
        <v>14.19</v>
      </c>
      <c r="H62">
        <v>605.62</v>
      </c>
      <c r="I62">
        <v>23.57</v>
      </c>
    </row>
    <row r="63" spans="1:9" x14ac:dyDescent="0.25">
      <c r="A63" t="s">
        <v>39</v>
      </c>
      <c r="B63" t="s">
        <v>17</v>
      </c>
      <c r="C63" t="s">
        <v>104</v>
      </c>
      <c r="D63">
        <v>145</v>
      </c>
      <c r="E63">
        <v>110</v>
      </c>
      <c r="F63">
        <v>75.86</v>
      </c>
      <c r="G63">
        <v>26.59</v>
      </c>
      <c r="H63">
        <v>3594.01</v>
      </c>
      <c r="I63">
        <v>93.22</v>
      </c>
    </row>
    <row r="64" spans="1:9" x14ac:dyDescent="0.25">
      <c r="A64" t="s">
        <v>39</v>
      </c>
      <c r="B64" t="s">
        <v>17</v>
      </c>
      <c r="C64" t="s">
        <v>105</v>
      </c>
      <c r="D64">
        <v>73</v>
      </c>
      <c r="E64">
        <v>33</v>
      </c>
      <c r="F64">
        <v>45.21</v>
      </c>
      <c r="G64">
        <v>86.17</v>
      </c>
      <c r="H64">
        <v>5153.84</v>
      </c>
      <c r="I64">
        <v>81.94</v>
      </c>
    </row>
    <row r="65" spans="1:9" x14ac:dyDescent="0.25">
      <c r="A65" t="s">
        <v>39</v>
      </c>
      <c r="B65" t="s">
        <v>23</v>
      </c>
      <c r="C65" t="s">
        <v>99</v>
      </c>
      <c r="D65">
        <v>45</v>
      </c>
      <c r="E65">
        <v>7</v>
      </c>
      <c r="F65">
        <v>15.56</v>
      </c>
      <c r="G65">
        <v>174.27</v>
      </c>
      <c r="H65">
        <v>1798.4</v>
      </c>
      <c r="I65">
        <v>22.93</v>
      </c>
    </row>
    <row r="66" spans="1:9" x14ac:dyDescent="0.25">
      <c r="A66" t="s">
        <v>39</v>
      </c>
      <c r="B66" t="s">
        <v>23</v>
      </c>
      <c r="C66" t="s">
        <v>100</v>
      </c>
      <c r="D66">
        <v>54</v>
      </c>
      <c r="E66">
        <v>36</v>
      </c>
      <c r="F66">
        <v>66.67</v>
      </c>
      <c r="G66">
        <v>130.13999999999999</v>
      </c>
      <c r="H66">
        <v>5415</v>
      </c>
      <c r="I66">
        <v>77.06</v>
      </c>
    </row>
    <row r="67" spans="1:9" x14ac:dyDescent="0.25">
      <c r="A67" t="s">
        <v>39</v>
      </c>
      <c r="B67" t="s">
        <v>23</v>
      </c>
      <c r="C67" t="s">
        <v>101</v>
      </c>
      <c r="D67">
        <v>150</v>
      </c>
      <c r="E67">
        <v>1</v>
      </c>
      <c r="F67">
        <v>0.67</v>
      </c>
      <c r="G67">
        <v>53.74</v>
      </c>
      <c r="H67">
        <v>98.87</v>
      </c>
      <c r="I67">
        <v>1.23</v>
      </c>
    </row>
    <row r="68" spans="1:9" x14ac:dyDescent="0.25">
      <c r="A68" t="s">
        <v>39</v>
      </c>
      <c r="B68" t="s">
        <v>23</v>
      </c>
      <c r="C68" t="s">
        <v>102</v>
      </c>
      <c r="D68">
        <v>137</v>
      </c>
      <c r="E68">
        <v>2</v>
      </c>
      <c r="F68">
        <v>1.46</v>
      </c>
      <c r="G68">
        <v>52.29</v>
      </c>
      <c r="H68">
        <v>235.13</v>
      </c>
      <c r="I68">
        <v>3.28</v>
      </c>
    </row>
    <row r="69" spans="1:9" x14ac:dyDescent="0.25">
      <c r="A69" t="s">
        <v>39</v>
      </c>
      <c r="B69" t="s">
        <v>23</v>
      </c>
      <c r="C69" t="s">
        <v>103</v>
      </c>
      <c r="D69">
        <v>119</v>
      </c>
      <c r="E69">
        <v>3</v>
      </c>
      <c r="F69">
        <v>2.52</v>
      </c>
      <c r="G69">
        <v>62.5</v>
      </c>
      <c r="H69">
        <v>1057.94</v>
      </c>
      <c r="I69">
        <v>14.22</v>
      </c>
    </row>
    <row r="70" spans="1:9" x14ac:dyDescent="0.25">
      <c r="A70" t="s">
        <v>39</v>
      </c>
      <c r="B70" t="s">
        <v>23</v>
      </c>
      <c r="C70" t="s">
        <v>104</v>
      </c>
      <c r="D70">
        <v>103</v>
      </c>
      <c r="E70">
        <v>79</v>
      </c>
      <c r="F70">
        <v>76.7</v>
      </c>
      <c r="G70">
        <v>78.37</v>
      </c>
      <c r="H70">
        <v>6158.28</v>
      </c>
      <c r="I70">
        <v>76.290000000000006</v>
      </c>
    </row>
    <row r="71" spans="1:9" x14ac:dyDescent="0.25">
      <c r="A71" t="s">
        <v>39</v>
      </c>
      <c r="B71" t="s">
        <v>23</v>
      </c>
      <c r="C71" t="s">
        <v>105</v>
      </c>
      <c r="D71">
        <v>68</v>
      </c>
      <c r="E71">
        <v>22</v>
      </c>
      <c r="F71">
        <v>32.35</v>
      </c>
      <c r="G71">
        <v>111.11</v>
      </c>
      <c r="H71">
        <v>1712.49</v>
      </c>
      <c r="I71">
        <v>22.66</v>
      </c>
    </row>
    <row r="72" spans="1:9" x14ac:dyDescent="0.25">
      <c r="A72" t="s">
        <v>39</v>
      </c>
      <c r="B72" t="s">
        <v>16</v>
      </c>
      <c r="C72" t="s">
        <v>99</v>
      </c>
      <c r="D72">
        <v>144</v>
      </c>
      <c r="E72">
        <v>75</v>
      </c>
      <c r="F72">
        <v>52.08</v>
      </c>
      <c r="G72">
        <v>119.19</v>
      </c>
      <c r="H72">
        <v>15101.88</v>
      </c>
      <c r="I72">
        <v>87.99</v>
      </c>
    </row>
    <row r="73" spans="1:9" x14ac:dyDescent="0.25">
      <c r="A73" t="s">
        <v>39</v>
      </c>
      <c r="B73" t="s">
        <v>16</v>
      </c>
      <c r="C73" t="s">
        <v>100</v>
      </c>
      <c r="D73">
        <v>122</v>
      </c>
      <c r="E73">
        <v>99</v>
      </c>
      <c r="F73">
        <v>81.150000000000006</v>
      </c>
      <c r="G73">
        <v>103.4</v>
      </c>
      <c r="H73">
        <v>12046.96</v>
      </c>
      <c r="I73">
        <v>95.5</v>
      </c>
    </row>
    <row r="74" spans="1:9" x14ac:dyDescent="0.25">
      <c r="A74" t="s">
        <v>39</v>
      </c>
      <c r="B74" t="s">
        <v>16</v>
      </c>
      <c r="C74" t="s">
        <v>101</v>
      </c>
      <c r="D74">
        <v>289</v>
      </c>
      <c r="E74">
        <v>35</v>
      </c>
      <c r="F74">
        <v>12.11</v>
      </c>
      <c r="G74">
        <v>55.81</v>
      </c>
      <c r="H74">
        <v>3870.29</v>
      </c>
      <c r="I74">
        <v>23.99</v>
      </c>
    </row>
    <row r="75" spans="1:9" x14ac:dyDescent="0.25">
      <c r="A75" t="s">
        <v>39</v>
      </c>
      <c r="B75" t="s">
        <v>16</v>
      </c>
      <c r="C75" t="s">
        <v>102</v>
      </c>
      <c r="D75">
        <v>325</v>
      </c>
      <c r="E75">
        <v>54</v>
      </c>
      <c r="F75">
        <v>16.62</v>
      </c>
      <c r="G75">
        <v>49.83</v>
      </c>
      <c r="H75">
        <v>4736.3100000000004</v>
      </c>
      <c r="I75">
        <v>29.25</v>
      </c>
    </row>
    <row r="76" spans="1:9" x14ac:dyDescent="0.25">
      <c r="A76" t="s">
        <v>39</v>
      </c>
      <c r="B76" t="s">
        <v>16</v>
      </c>
      <c r="C76" t="s">
        <v>103</v>
      </c>
      <c r="D76">
        <v>309</v>
      </c>
      <c r="E76">
        <v>46</v>
      </c>
      <c r="F76">
        <v>14.89</v>
      </c>
      <c r="G76">
        <v>54.24</v>
      </c>
      <c r="H76">
        <v>5556.67</v>
      </c>
      <c r="I76">
        <v>33.159999999999997</v>
      </c>
    </row>
    <row r="77" spans="1:9" x14ac:dyDescent="0.25">
      <c r="A77" t="s">
        <v>39</v>
      </c>
      <c r="B77" t="s">
        <v>16</v>
      </c>
      <c r="C77" t="s">
        <v>104</v>
      </c>
      <c r="D77">
        <v>320</v>
      </c>
      <c r="E77">
        <v>280</v>
      </c>
      <c r="F77">
        <v>87.5</v>
      </c>
      <c r="G77">
        <v>120.96</v>
      </c>
      <c r="H77">
        <v>37524.94</v>
      </c>
      <c r="I77">
        <v>96.95</v>
      </c>
    </row>
    <row r="78" spans="1:9" x14ac:dyDescent="0.25">
      <c r="A78" t="s">
        <v>39</v>
      </c>
      <c r="B78" t="s">
        <v>16</v>
      </c>
      <c r="C78" t="s">
        <v>105</v>
      </c>
      <c r="D78">
        <v>227</v>
      </c>
      <c r="E78">
        <v>128</v>
      </c>
      <c r="F78">
        <v>56.39</v>
      </c>
      <c r="G78">
        <v>109.8</v>
      </c>
      <c r="H78">
        <v>22503.62</v>
      </c>
      <c r="I78">
        <v>90.29</v>
      </c>
    </row>
    <row r="79" spans="1:9" x14ac:dyDescent="0.25">
      <c r="A79" t="s">
        <v>39</v>
      </c>
      <c r="B79" t="s">
        <v>24</v>
      </c>
      <c r="C79" t="s">
        <v>99</v>
      </c>
      <c r="D79">
        <v>75</v>
      </c>
      <c r="E79">
        <v>21</v>
      </c>
      <c r="F79">
        <v>28</v>
      </c>
      <c r="G79">
        <v>123.93</v>
      </c>
      <c r="H79">
        <v>2464.65</v>
      </c>
      <c r="I79">
        <v>26.52</v>
      </c>
    </row>
    <row r="80" spans="1:9" x14ac:dyDescent="0.25">
      <c r="A80" t="s">
        <v>39</v>
      </c>
      <c r="B80" t="s">
        <v>24</v>
      </c>
      <c r="C80" t="s">
        <v>100</v>
      </c>
      <c r="D80">
        <v>71</v>
      </c>
      <c r="E80">
        <v>59</v>
      </c>
      <c r="F80">
        <v>83.1</v>
      </c>
      <c r="G80">
        <v>114.55</v>
      </c>
      <c r="H80">
        <v>6296.62</v>
      </c>
      <c r="I80">
        <v>77.42</v>
      </c>
    </row>
    <row r="81" spans="1:9" x14ac:dyDescent="0.25">
      <c r="A81" t="s">
        <v>39</v>
      </c>
      <c r="B81" t="s">
        <v>24</v>
      </c>
      <c r="C81" t="s">
        <v>101</v>
      </c>
      <c r="D81">
        <v>211</v>
      </c>
      <c r="E81">
        <v>4</v>
      </c>
      <c r="F81">
        <v>1.9</v>
      </c>
      <c r="G81">
        <v>51.24</v>
      </c>
      <c r="H81">
        <v>694.14</v>
      </c>
      <c r="I81">
        <v>6.42</v>
      </c>
    </row>
    <row r="82" spans="1:9" x14ac:dyDescent="0.25">
      <c r="A82" t="s">
        <v>39</v>
      </c>
      <c r="B82" t="s">
        <v>24</v>
      </c>
      <c r="C82" t="s">
        <v>102</v>
      </c>
      <c r="D82">
        <v>191</v>
      </c>
      <c r="E82">
        <v>5</v>
      </c>
      <c r="F82">
        <v>2.62</v>
      </c>
      <c r="G82">
        <v>49.21</v>
      </c>
      <c r="H82">
        <v>388.25</v>
      </c>
      <c r="I82">
        <v>4.13</v>
      </c>
    </row>
    <row r="83" spans="1:9" x14ac:dyDescent="0.25">
      <c r="A83" t="s">
        <v>39</v>
      </c>
      <c r="B83" t="s">
        <v>24</v>
      </c>
      <c r="C83" t="s">
        <v>103</v>
      </c>
      <c r="D83">
        <v>200</v>
      </c>
      <c r="E83">
        <v>2</v>
      </c>
      <c r="F83">
        <v>1</v>
      </c>
      <c r="G83">
        <v>54.74</v>
      </c>
      <c r="H83">
        <v>89.68</v>
      </c>
      <c r="I83">
        <v>0.82</v>
      </c>
    </row>
    <row r="84" spans="1:9" x14ac:dyDescent="0.25">
      <c r="A84" t="s">
        <v>39</v>
      </c>
      <c r="B84" t="s">
        <v>24</v>
      </c>
      <c r="C84" t="s">
        <v>104</v>
      </c>
      <c r="D84">
        <v>135</v>
      </c>
      <c r="E84">
        <v>100</v>
      </c>
      <c r="F84">
        <v>74.069999999999993</v>
      </c>
      <c r="G84">
        <v>114.67</v>
      </c>
      <c r="H84">
        <v>12143.43</v>
      </c>
      <c r="I84">
        <v>78.44</v>
      </c>
    </row>
    <row r="85" spans="1:9" x14ac:dyDescent="0.25">
      <c r="A85" t="s">
        <v>39</v>
      </c>
      <c r="B85" t="s">
        <v>24</v>
      </c>
      <c r="C85" t="s">
        <v>105</v>
      </c>
      <c r="D85">
        <v>89</v>
      </c>
      <c r="E85">
        <v>30</v>
      </c>
      <c r="F85">
        <v>33.71</v>
      </c>
      <c r="G85">
        <v>96.91</v>
      </c>
      <c r="H85">
        <v>3224.2</v>
      </c>
      <c r="I85">
        <v>37.380000000000003</v>
      </c>
    </row>
    <row r="86" spans="1:9" x14ac:dyDescent="0.25">
      <c r="A86" t="s">
        <v>39</v>
      </c>
      <c r="B86" t="s">
        <v>18</v>
      </c>
      <c r="C86" t="s">
        <v>99</v>
      </c>
      <c r="D86">
        <v>25</v>
      </c>
      <c r="E86">
        <v>9</v>
      </c>
      <c r="F86">
        <v>36</v>
      </c>
      <c r="G86">
        <v>57.37</v>
      </c>
      <c r="H86">
        <v>1363.69</v>
      </c>
      <c r="I86">
        <v>95.07</v>
      </c>
    </row>
    <row r="87" spans="1:9" x14ac:dyDescent="0.25">
      <c r="A87" t="s">
        <v>39</v>
      </c>
      <c r="B87" t="s">
        <v>18</v>
      </c>
      <c r="C87" t="s">
        <v>100</v>
      </c>
      <c r="D87">
        <v>44</v>
      </c>
      <c r="E87">
        <v>35</v>
      </c>
      <c r="F87">
        <v>79.55</v>
      </c>
      <c r="G87">
        <v>63.95</v>
      </c>
      <c r="H87">
        <v>2813.66</v>
      </c>
      <c r="I87">
        <v>100</v>
      </c>
    </row>
    <row r="88" spans="1:9" x14ac:dyDescent="0.25">
      <c r="A88" t="s">
        <v>39</v>
      </c>
      <c r="B88" t="s">
        <v>18</v>
      </c>
      <c r="C88" t="s">
        <v>101</v>
      </c>
      <c r="D88">
        <v>77</v>
      </c>
      <c r="E88">
        <v>4</v>
      </c>
      <c r="F88">
        <v>5.19</v>
      </c>
      <c r="G88">
        <v>26.57</v>
      </c>
      <c r="H88">
        <v>15.09</v>
      </c>
      <c r="I88">
        <v>0.74</v>
      </c>
    </row>
    <row r="89" spans="1:9" x14ac:dyDescent="0.25">
      <c r="A89" t="s">
        <v>39</v>
      </c>
      <c r="B89" t="s">
        <v>18</v>
      </c>
      <c r="C89" t="s">
        <v>102</v>
      </c>
      <c r="D89">
        <v>84</v>
      </c>
      <c r="E89">
        <v>8</v>
      </c>
      <c r="F89">
        <v>9.52</v>
      </c>
      <c r="G89">
        <v>18.22</v>
      </c>
      <c r="H89">
        <v>2.06</v>
      </c>
      <c r="I89">
        <v>0.13</v>
      </c>
    </row>
    <row r="90" spans="1:9" x14ac:dyDescent="0.25">
      <c r="A90" t="s">
        <v>39</v>
      </c>
      <c r="B90" t="s">
        <v>18</v>
      </c>
      <c r="C90" t="s">
        <v>103</v>
      </c>
      <c r="D90">
        <v>80</v>
      </c>
      <c r="E90">
        <v>10</v>
      </c>
      <c r="F90">
        <v>12.5</v>
      </c>
      <c r="G90">
        <v>12.6</v>
      </c>
      <c r="H90">
        <v>352.04</v>
      </c>
      <c r="I90">
        <v>34.93</v>
      </c>
    </row>
    <row r="91" spans="1:9" x14ac:dyDescent="0.25">
      <c r="A91" t="s">
        <v>39</v>
      </c>
      <c r="B91" t="s">
        <v>18</v>
      </c>
      <c r="C91" t="s">
        <v>104</v>
      </c>
      <c r="D91">
        <v>60</v>
      </c>
      <c r="E91">
        <v>49</v>
      </c>
      <c r="F91">
        <v>81.67</v>
      </c>
      <c r="G91">
        <v>26.4</v>
      </c>
      <c r="H91">
        <v>1543.11</v>
      </c>
      <c r="I91">
        <v>97.43</v>
      </c>
    </row>
    <row r="92" spans="1:9" x14ac:dyDescent="0.25">
      <c r="A92" t="s">
        <v>39</v>
      </c>
      <c r="B92" t="s">
        <v>18</v>
      </c>
      <c r="C92" t="s">
        <v>105</v>
      </c>
      <c r="D92">
        <v>35</v>
      </c>
      <c r="E92">
        <v>14</v>
      </c>
      <c r="F92">
        <v>40</v>
      </c>
      <c r="G92">
        <v>92.29</v>
      </c>
      <c r="H92">
        <v>2047.05</v>
      </c>
      <c r="I92">
        <v>63.38</v>
      </c>
    </row>
    <row r="93" spans="1:9" x14ac:dyDescent="0.25">
      <c r="A93" t="s">
        <v>39</v>
      </c>
      <c r="B93" t="s">
        <v>26</v>
      </c>
      <c r="C93" t="s">
        <v>99</v>
      </c>
      <c r="D93">
        <v>46</v>
      </c>
      <c r="E93">
        <v>8</v>
      </c>
      <c r="F93">
        <v>17.39</v>
      </c>
      <c r="G93">
        <v>59.54</v>
      </c>
      <c r="H93">
        <v>1007.21</v>
      </c>
      <c r="I93">
        <v>36.770000000000003</v>
      </c>
    </row>
    <row r="94" spans="1:9" x14ac:dyDescent="0.25">
      <c r="A94" t="s">
        <v>39</v>
      </c>
      <c r="B94" t="s">
        <v>26</v>
      </c>
      <c r="C94" t="s">
        <v>100</v>
      </c>
      <c r="D94">
        <v>46</v>
      </c>
      <c r="E94">
        <v>33</v>
      </c>
      <c r="F94">
        <v>71.739999999999995</v>
      </c>
      <c r="G94">
        <v>89.17</v>
      </c>
      <c r="H94">
        <v>3003.41</v>
      </c>
      <c r="I94">
        <v>73.22</v>
      </c>
    </row>
    <row r="95" spans="1:9" x14ac:dyDescent="0.25">
      <c r="A95" t="s">
        <v>39</v>
      </c>
      <c r="B95" t="s">
        <v>26</v>
      </c>
      <c r="C95" t="s">
        <v>101</v>
      </c>
      <c r="D95">
        <v>123</v>
      </c>
      <c r="E95">
        <v>1</v>
      </c>
      <c r="F95">
        <v>0.81</v>
      </c>
      <c r="G95">
        <v>49.61</v>
      </c>
      <c r="H95">
        <v>143.84</v>
      </c>
      <c r="I95">
        <v>2.36</v>
      </c>
    </row>
    <row r="96" spans="1:9" x14ac:dyDescent="0.25">
      <c r="A96" t="s">
        <v>39</v>
      </c>
      <c r="B96" t="s">
        <v>26</v>
      </c>
      <c r="C96" t="s">
        <v>102</v>
      </c>
      <c r="D96">
        <v>144</v>
      </c>
      <c r="E96">
        <v>2</v>
      </c>
      <c r="F96">
        <v>1.39</v>
      </c>
      <c r="G96">
        <v>49.5</v>
      </c>
      <c r="H96">
        <v>586.79999999999995</v>
      </c>
      <c r="I96">
        <v>8.23</v>
      </c>
    </row>
    <row r="97" spans="1:9" x14ac:dyDescent="0.25">
      <c r="A97" t="s">
        <v>39</v>
      </c>
      <c r="B97" t="s">
        <v>26</v>
      </c>
      <c r="C97" t="s">
        <v>103</v>
      </c>
      <c r="D97">
        <v>133</v>
      </c>
      <c r="E97">
        <v>3</v>
      </c>
      <c r="F97">
        <v>2.2599999999999998</v>
      </c>
      <c r="G97">
        <v>40.26</v>
      </c>
      <c r="H97">
        <v>531.01</v>
      </c>
      <c r="I97">
        <v>9.92</v>
      </c>
    </row>
    <row r="98" spans="1:9" x14ac:dyDescent="0.25">
      <c r="A98" t="s">
        <v>39</v>
      </c>
      <c r="B98" t="s">
        <v>26</v>
      </c>
      <c r="C98" t="s">
        <v>104</v>
      </c>
      <c r="D98">
        <v>75</v>
      </c>
      <c r="E98">
        <v>52</v>
      </c>
      <c r="F98">
        <v>69.33</v>
      </c>
      <c r="G98">
        <v>93.96</v>
      </c>
      <c r="H98">
        <v>5025.96</v>
      </c>
      <c r="I98">
        <v>71.319999999999993</v>
      </c>
    </row>
    <row r="99" spans="1:9" x14ac:dyDescent="0.25">
      <c r="A99" t="s">
        <v>39</v>
      </c>
      <c r="B99" t="s">
        <v>26</v>
      </c>
      <c r="C99" t="s">
        <v>105</v>
      </c>
      <c r="D99">
        <v>59</v>
      </c>
      <c r="E99">
        <v>15</v>
      </c>
      <c r="F99">
        <v>25.42</v>
      </c>
      <c r="G99">
        <v>83.61</v>
      </c>
      <c r="H99">
        <v>1137.93</v>
      </c>
      <c r="I99">
        <v>23.07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306A2-BBBB-4754-BB90-51F2251D93A0}">
  <dimension ref="A1:D22"/>
  <sheetViews>
    <sheetView workbookViewId="0">
      <selection activeCell="C4" sqref="C4"/>
    </sheetView>
  </sheetViews>
  <sheetFormatPr defaultRowHeight="15" x14ac:dyDescent="0.25"/>
  <cols>
    <col min="1" max="1" width="15.42578125" bestFit="1" customWidth="1"/>
    <col min="2" max="2" width="15.85546875" bestFit="1" customWidth="1"/>
    <col min="3" max="3" width="12.5703125" bestFit="1" customWidth="1"/>
    <col min="4" max="4" width="25" bestFit="1" customWidth="1"/>
  </cols>
  <sheetData>
    <row r="1" spans="1:4" x14ac:dyDescent="0.25">
      <c r="A1" t="s">
        <v>13</v>
      </c>
      <c r="B1" t="s">
        <v>12</v>
      </c>
      <c r="C1" t="s">
        <v>14</v>
      </c>
      <c r="D1" t="s">
        <v>60</v>
      </c>
    </row>
    <row r="2" spans="1:4" x14ac:dyDescent="0.25">
      <c r="A2" t="s">
        <v>25</v>
      </c>
      <c r="B2" t="s">
        <v>15</v>
      </c>
      <c r="C2">
        <v>24.1</v>
      </c>
      <c r="D2">
        <v>36.81</v>
      </c>
    </row>
    <row r="3" spans="1:4" x14ac:dyDescent="0.25">
      <c r="A3" t="s">
        <v>25</v>
      </c>
      <c r="B3" t="s">
        <v>19</v>
      </c>
      <c r="C3">
        <v>22.31</v>
      </c>
      <c r="D3">
        <v>38.35</v>
      </c>
    </row>
    <row r="4" spans="1:4" x14ac:dyDescent="0.25">
      <c r="A4" t="s">
        <v>25</v>
      </c>
      <c r="B4" t="s">
        <v>20</v>
      </c>
      <c r="C4">
        <v>14.07</v>
      </c>
      <c r="D4">
        <v>23.44</v>
      </c>
    </row>
    <row r="5" spans="1:4" x14ac:dyDescent="0.25">
      <c r="A5" t="s">
        <v>17</v>
      </c>
      <c r="B5" t="s">
        <v>19</v>
      </c>
      <c r="C5">
        <v>37.450000000000003</v>
      </c>
      <c r="D5">
        <v>58.86</v>
      </c>
    </row>
    <row r="6" spans="1:4" x14ac:dyDescent="0.25">
      <c r="A6" t="s">
        <v>17</v>
      </c>
      <c r="B6" t="s">
        <v>15</v>
      </c>
      <c r="C6">
        <v>36.85</v>
      </c>
      <c r="D6">
        <v>72.23</v>
      </c>
    </row>
    <row r="7" spans="1:4" x14ac:dyDescent="0.25">
      <c r="A7" t="s">
        <v>17</v>
      </c>
      <c r="B7" t="s">
        <v>20</v>
      </c>
      <c r="C7">
        <v>25.81</v>
      </c>
      <c r="D7">
        <v>34.450000000000003</v>
      </c>
    </row>
    <row r="8" spans="1:4" x14ac:dyDescent="0.25">
      <c r="A8" t="s">
        <v>23</v>
      </c>
      <c r="B8" t="s">
        <v>19</v>
      </c>
      <c r="C8">
        <v>24.42</v>
      </c>
      <c r="D8">
        <v>37.9</v>
      </c>
    </row>
    <row r="9" spans="1:4" x14ac:dyDescent="0.25">
      <c r="A9" t="s">
        <v>23</v>
      </c>
      <c r="B9" t="s">
        <v>15</v>
      </c>
      <c r="C9">
        <v>21.65</v>
      </c>
      <c r="D9">
        <v>30.54</v>
      </c>
    </row>
    <row r="10" spans="1:4" x14ac:dyDescent="0.25">
      <c r="A10" t="s">
        <v>23</v>
      </c>
      <c r="B10" t="s">
        <v>20</v>
      </c>
      <c r="C10">
        <v>16.46</v>
      </c>
      <c r="D10">
        <v>24.11</v>
      </c>
    </row>
    <row r="11" spans="1:4" x14ac:dyDescent="0.25">
      <c r="A11" t="s">
        <v>16</v>
      </c>
      <c r="B11" t="s">
        <v>15</v>
      </c>
      <c r="C11">
        <v>43.91</v>
      </c>
      <c r="D11">
        <v>72.91</v>
      </c>
    </row>
    <row r="12" spans="1:4" x14ac:dyDescent="0.25">
      <c r="A12" t="s">
        <v>16</v>
      </c>
      <c r="B12" t="s">
        <v>19</v>
      </c>
      <c r="C12">
        <v>41.37</v>
      </c>
      <c r="D12">
        <v>71.37</v>
      </c>
    </row>
    <row r="13" spans="1:4" x14ac:dyDescent="0.25">
      <c r="A13" t="s">
        <v>16</v>
      </c>
      <c r="B13" t="s">
        <v>20</v>
      </c>
      <c r="C13">
        <v>32.22</v>
      </c>
      <c r="D13">
        <v>57.9</v>
      </c>
    </row>
    <row r="14" spans="1:4" x14ac:dyDescent="0.25">
      <c r="A14" t="s">
        <v>24</v>
      </c>
      <c r="B14" t="s">
        <v>15</v>
      </c>
      <c r="C14">
        <v>23.86</v>
      </c>
      <c r="D14">
        <v>36.92</v>
      </c>
    </row>
    <row r="15" spans="1:4" x14ac:dyDescent="0.25">
      <c r="A15" t="s">
        <v>24</v>
      </c>
      <c r="B15" t="s">
        <v>19</v>
      </c>
      <c r="C15">
        <v>23.65</v>
      </c>
      <c r="D15">
        <v>40.68</v>
      </c>
    </row>
    <row r="16" spans="1:4" x14ac:dyDescent="0.25">
      <c r="A16" t="s">
        <v>24</v>
      </c>
      <c r="B16" t="s">
        <v>20</v>
      </c>
      <c r="C16">
        <v>14.78</v>
      </c>
      <c r="D16">
        <v>29.57</v>
      </c>
    </row>
    <row r="17" spans="1:4" x14ac:dyDescent="0.25">
      <c r="A17" t="s">
        <v>18</v>
      </c>
      <c r="B17" t="s">
        <v>19</v>
      </c>
      <c r="C17">
        <v>33.49</v>
      </c>
      <c r="D17">
        <v>62.59</v>
      </c>
    </row>
    <row r="18" spans="1:4" x14ac:dyDescent="0.25">
      <c r="A18" t="s">
        <v>18</v>
      </c>
      <c r="B18" t="s">
        <v>15</v>
      </c>
      <c r="C18">
        <v>31.89</v>
      </c>
      <c r="D18">
        <v>53</v>
      </c>
    </row>
    <row r="19" spans="1:4" x14ac:dyDescent="0.25">
      <c r="A19" t="s">
        <v>18</v>
      </c>
      <c r="B19" t="s">
        <v>20</v>
      </c>
      <c r="C19">
        <v>28.91</v>
      </c>
      <c r="D19">
        <v>52.98</v>
      </c>
    </row>
    <row r="20" spans="1:4" x14ac:dyDescent="0.25">
      <c r="A20" t="s">
        <v>26</v>
      </c>
      <c r="B20" t="s">
        <v>15</v>
      </c>
      <c r="C20">
        <v>21.69</v>
      </c>
      <c r="D20">
        <v>38.08</v>
      </c>
    </row>
    <row r="21" spans="1:4" x14ac:dyDescent="0.25">
      <c r="A21" t="s">
        <v>26</v>
      </c>
      <c r="B21" t="s">
        <v>19</v>
      </c>
      <c r="C21">
        <v>19.07</v>
      </c>
      <c r="D21">
        <v>30.54</v>
      </c>
    </row>
    <row r="22" spans="1:4" x14ac:dyDescent="0.25">
      <c r="A22" t="s">
        <v>26</v>
      </c>
      <c r="B22" t="s">
        <v>20</v>
      </c>
      <c r="C22">
        <v>12.81</v>
      </c>
      <c r="D22">
        <v>31.47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E1D5C-A2C0-47E8-B288-5BB99FFA5B3E}">
  <dimension ref="A4:O205"/>
  <sheetViews>
    <sheetView topLeftCell="A154" zoomScaleNormal="100" workbookViewId="0">
      <selection activeCell="A4" sqref="A4:N4"/>
    </sheetView>
  </sheetViews>
  <sheetFormatPr defaultRowHeight="15" x14ac:dyDescent="0.25"/>
  <cols>
    <col min="1" max="1" width="13.140625" bestFit="1" customWidth="1"/>
    <col min="2" max="2" width="11.7109375" bestFit="1" customWidth="1"/>
    <col min="3" max="3" width="29" bestFit="1" customWidth="1"/>
    <col min="4" max="4" width="19.85546875" bestFit="1" customWidth="1"/>
    <col min="5" max="5" width="19.42578125" bestFit="1" customWidth="1"/>
    <col min="6" max="6" width="25.7109375" bestFit="1" customWidth="1"/>
    <col min="7" max="7" width="29.28515625" bestFit="1" customWidth="1"/>
    <col min="8" max="8" width="38.140625" bestFit="1" customWidth="1"/>
    <col min="9" max="9" width="5" bestFit="1" customWidth="1"/>
    <col min="10" max="10" width="20.7109375" bestFit="1" customWidth="1"/>
    <col min="11" max="11" width="34.5703125" bestFit="1" customWidth="1"/>
    <col min="12" max="18" width="6" bestFit="1" customWidth="1"/>
    <col min="19" max="20" width="4" bestFit="1" customWidth="1"/>
    <col min="21" max="21" width="6" bestFit="1" customWidth="1"/>
    <col min="22" max="22" width="4" bestFit="1" customWidth="1"/>
    <col min="23" max="23" width="23.7109375" bestFit="1" customWidth="1"/>
    <col min="24" max="24" width="8" bestFit="1" customWidth="1"/>
    <col min="25" max="28" width="7" bestFit="1" customWidth="1"/>
    <col min="29" max="29" width="5" bestFit="1" customWidth="1"/>
    <col min="30" max="30" width="7" bestFit="1" customWidth="1"/>
    <col min="31" max="31" width="8" bestFit="1" customWidth="1"/>
    <col min="32" max="32" width="6" bestFit="1" customWidth="1"/>
    <col min="33" max="33" width="7" bestFit="1" customWidth="1"/>
    <col min="34" max="34" width="8" bestFit="1" customWidth="1"/>
    <col min="35" max="37" width="7" bestFit="1" customWidth="1"/>
    <col min="38" max="38" width="8" bestFit="1" customWidth="1"/>
    <col min="39" max="40" width="6" bestFit="1" customWidth="1"/>
    <col min="41" max="42" width="7" bestFit="1" customWidth="1"/>
    <col min="43" max="43" width="29.42578125" bestFit="1" customWidth="1"/>
    <col min="44" max="48" width="12" bestFit="1" customWidth="1"/>
    <col min="49" max="50" width="4" bestFit="1" customWidth="1"/>
    <col min="51" max="53" width="12" bestFit="1" customWidth="1"/>
    <col min="54" max="54" width="11" bestFit="1" customWidth="1"/>
    <col min="55" max="58" width="12" bestFit="1" customWidth="1"/>
    <col min="59" max="59" width="11" bestFit="1" customWidth="1"/>
    <col min="60" max="61" width="12" bestFit="1" customWidth="1"/>
    <col min="62" max="62" width="4" bestFit="1" customWidth="1"/>
    <col min="63" max="63" width="24.42578125" bestFit="1" customWidth="1"/>
    <col min="64" max="64" width="28.7109375" bestFit="1" customWidth="1"/>
    <col min="65" max="65" width="34.5703125" bestFit="1" customWidth="1"/>
  </cols>
  <sheetData>
    <row r="4" spans="1:15" x14ac:dyDescent="0.25">
      <c r="A4" s="67" t="s">
        <v>47</v>
      </c>
      <c r="B4" s="67"/>
      <c r="C4" s="67"/>
      <c r="D4" s="67"/>
      <c r="E4" s="67"/>
      <c r="F4" s="67"/>
      <c r="G4" s="67"/>
      <c r="H4" s="67"/>
      <c r="I4" s="67"/>
      <c r="J4" s="67"/>
      <c r="K4" s="67"/>
      <c r="L4" s="67"/>
      <c r="M4" s="67"/>
      <c r="N4" s="67"/>
      <c r="O4" s="67"/>
    </row>
    <row r="7" spans="1:15" x14ac:dyDescent="0.25">
      <c r="A7" s="11" t="s">
        <v>42</v>
      </c>
      <c r="B7" t="s">
        <v>44</v>
      </c>
    </row>
    <row r="8" spans="1:15" x14ac:dyDescent="0.25">
      <c r="A8" s="12" t="s">
        <v>20</v>
      </c>
      <c r="B8" s="14">
        <v>20.784285714285716</v>
      </c>
    </row>
    <row r="9" spans="1:15" x14ac:dyDescent="0.25">
      <c r="A9" s="12" t="s">
        <v>19</v>
      </c>
      <c r="B9" s="14">
        <v>28.904761904761898</v>
      </c>
    </row>
    <row r="10" spans="1:15" x14ac:dyDescent="0.25">
      <c r="A10" s="12" t="s">
        <v>15</v>
      </c>
      <c r="B10" s="14">
        <v>28.953333333333337</v>
      </c>
    </row>
    <row r="16" spans="1:15" x14ac:dyDescent="0.25">
      <c r="A16" s="11" t="s">
        <v>42</v>
      </c>
      <c r="B16" t="s">
        <v>46</v>
      </c>
    </row>
    <row r="17" spans="1:15" x14ac:dyDescent="0.25">
      <c r="A17" s="12" t="s">
        <v>20</v>
      </c>
      <c r="B17" s="13">
        <v>11.122142857142858</v>
      </c>
    </row>
    <row r="18" spans="1:15" x14ac:dyDescent="0.25">
      <c r="A18" s="12" t="s">
        <v>19</v>
      </c>
      <c r="B18" s="13">
        <v>17.297857142857143</v>
      </c>
    </row>
    <row r="19" spans="1:15" x14ac:dyDescent="0.25">
      <c r="A19" s="12" t="s">
        <v>15</v>
      </c>
      <c r="B19" s="13">
        <v>17.458571428571428</v>
      </c>
    </row>
    <row r="24" spans="1:15" x14ac:dyDescent="0.25">
      <c r="A24" s="67" t="s">
        <v>48</v>
      </c>
      <c r="B24" s="67"/>
      <c r="C24" s="67"/>
      <c r="D24" s="67"/>
      <c r="E24" s="67"/>
      <c r="F24" s="67"/>
      <c r="G24" s="67"/>
      <c r="H24" s="67"/>
      <c r="I24" s="67"/>
      <c r="J24" s="67"/>
      <c r="K24" s="67"/>
      <c r="L24" s="67"/>
      <c r="M24" s="67"/>
      <c r="N24" s="67"/>
      <c r="O24" s="67"/>
    </row>
    <row r="26" spans="1:15" x14ac:dyDescent="0.25">
      <c r="B26" s="11" t="s">
        <v>42</v>
      </c>
      <c r="C26" t="s">
        <v>52</v>
      </c>
      <c r="E26" s="19"/>
      <c r="G26" s="11" t="s">
        <v>42</v>
      </c>
      <c r="H26" t="s">
        <v>52</v>
      </c>
    </row>
    <row r="27" spans="1:15" x14ac:dyDescent="0.25">
      <c r="B27" s="12" t="s">
        <v>20</v>
      </c>
      <c r="C27" s="13">
        <v>13.835000000000001</v>
      </c>
      <c r="E27" s="19"/>
      <c r="G27" s="12" t="s">
        <v>38</v>
      </c>
      <c r="H27" s="13">
        <v>20.686666666666667</v>
      </c>
    </row>
    <row r="28" spans="1:15" x14ac:dyDescent="0.25">
      <c r="B28" s="12" t="s">
        <v>19</v>
      </c>
      <c r="C28" s="13">
        <v>25.439999999999998</v>
      </c>
      <c r="E28" s="19"/>
      <c r="G28" s="12" t="s">
        <v>39</v>
      </c>
      <c r="H28" s="13">
        <v>21.426666666666666</v>
      </c>
    </row>
    <row r="29" spans="1:15" x14ac:dyDescent="0.25">
      <c r="B29" s="12" t="s">
        <v>15</v>
      </c>
      <c r="C29" s="13">
        <v>23.895</v>
      </c>
      <c r="E29" s="19"/>
    </row>
    <row r="30" spans="1:15" x14ac:dyDescent="0.25">
      <c r="E30" s="19"/>
    </row>
    <row r="31" spans="1:15" x14ac:dyDescent="0.25">
      <c r="E31" s="19"/>
    </row>
    <row r="32" spans="1:15" x14ac:dyDescent="0.25">
      <c r="E32" s="19"/>
    </row>
    <row r="33" spans="2:8" x14ac:dyDescent="0.25">
      <c r="B33" t="str">
        <f xml:space="preserve"> "OP: " &amp; TEXT(GETPIVOTDATA("sla_breach_days_pct",$B$26,"program_type","OP")/100,"0.00%") &amp; " | OTC: " &amp; TEXT(GETPIVOTDATA("sla_breach_days_pct",$B$26,"program_type","OTC")/100,"0.00%") &amp; " | SAFE-T: " &amp; TEXT(GETPIVOTDATA("sla_breach_days_pct",$B$26,"program_type","SAFE-T")/100,"0.00%")</f>
        <v>OP: 13.84% | OTC: 25.44% | SAFE-T: 23.90%</v>
      </c>
      <c r="E33" s="19"/>
      <c r="H33" t="str">
        <f xml:space="preserve"> "EU: " &amp; TEXT(GETPIVOTDATA("sla_breach_days_pct",$G$26,"market","EU")/100,"0.00%") &amp; " | NAM: " &amp; TEXT(GETPIVOTDATA("sla_breach_days_pct",$G$26,"market","NAM")/100,"0.00%")</f>
        <v>EU: 20.69% | NAM: 21.43%</v>
      </c>
    </row>
    <row r="35" spans="2:8" x14ac:dyDescent="0.25">
      <c r="B35" s="19"/>
      <c r="C35" s="19"/>
      <c r="D35" s="19"/>
      <c r="E35" s="19"/>
      <c r="F35" s="19"/>
      <c r="G35" s="19"/>
      <c r="H35" s="19"/>
    </row>
    <row r="37" spans="2:8" x14ac:dyDescent="0.25">
      <c r="B37" s="11" t="s">
        <v>42</v>
      </c>
      <c r="C37" t="s">
        <v>53</v>
      </c>
    </row>
    <row r="38" spans="2:8" x14ac:dyDescent="0.25">
      <c r="B38" s="12" t="s">
        <v>15</v>
      </c>
      <c r="C38">
        <v>26.1</v>
      </c>
    </row>
    <row r="39" spans="2:8" x14ac:dyDescent="0.25">
      <c r="B39" s="12" t="s">
        <v>20</v>
      </c>
      <c r="C39">
        <v>22.22</v>
      </c>
    </row>
    <row r="40" spans="2:8" x14ac:dyDescent="0.25">
      <c r="B40" s="12" t="s">
        <v>19</v>
      </c>
      <c r="C40">
        <v>6.51</v>
      </c>
    </row>
    <row r="42" spans="2:8" x14ac:dyDescent="0.25">
      <c r="B42" s="19"/>
      <c r="C42" s="19"/>
      <c r="D42" s="19"/>
      <c r="E42" s="19"/>
      <c r="F42" s="19"/>
      <c r="G42" s="19"/>
      <c r="H42" s="19"/>
    </row>
    <row r="45" spans="2:8" x14ac:dyDescent="0.25">
      <c r="B45" s="11" t="s">
        <v>42</v>
      </c>
      <c r="C45" t="s">
        <v>54</v>
      </c>
      <c r="D45" t="s">
        <v>55</v>
      </c>
    </row>
    <row r="46" spans="2:8" x14ac:dyDescent="0.25">
      <c r="B46" s="12" t="s">
        <v>20</v>
      </c>
      <c r="C46">
        <v>21.6</v>
      </c>
      <c r="D46">
        <v>11.44</v>
      </c>
    </row>
    <row r="47" spans="2:8" x14ac:dyDescent="0.25">
      <c r="B47" s="12" t="s">
        <v>19</v>
      </c>
      <c r="C47">
        <v>29.92</v>
      </c>
      <c r="D47">
        <v>7</v>
      </c>
    </row>
    <row r="48" spans="2:8" x14ac:dyDescent="0.25">
      <c r="B48" s="12" t="s">
        <v>15</v>
      </c>
      <c r="C48">
        <v>31.01</v>
      </c>
      <c r="D48">
        <v>3.98</v>
      </c>
    </row>
    <row r="51" spans="2:8" x14ac:dyDescent="0.25">
      <c r="B51" s="19"/>
      <c r="C51" s="19"/>
      <c r="D51" s="19"/>
      <c r="E51" s="19"/>
      <c r="F51" s="19"/>
      <c r="G51" s="19"/>
      <c r="H51" s="19"/>
    </row>
    <row r="54" spans="2:8" x14ac:dyDescent="0.25">
      <c r="B54" s="11" t="s">
        <v>42</v>
      </c>
      <c r="C54" t="s">
        <v>56</v>
      </c>
    </row>
    <row r="55" spans="2:8" x14ac:dyDescent="0.25">
      <c r="B55" s="12" t="s">
        <v>20</v>
      </c>
      <c r="C55" s="14">
        <v>5.3273570412958868E-2</v>
      </c>
    </row>
    <row r="56" spans="2:8" x14ac:dyDescent="0.25">
      <c r="B56" s="12" t="s">
        <v>19</v>
      </c>
      <c r="C56" s="14">
        <v>2.1957375293014936E-2</v>
      </c>
    </row>
    <row r="57" spans="2:8" x14ac:dyDescent="0.25">
      <c r="B57" s="12" t="s">
        <v>15</v>
      </c>
      <c r="C57" s="14">
        <v>3.7672460666425957E-3</v>
      </c>
    </row>
    <row r="60" spans="2:8" x14ac:dyDescent="0.25">
      <c r="C60" t="str">
        <f>"OP: " &amp; TEXT(GETPIVOTDATA("refund_amount",$B$54,"program_type","OP"),"0.000") &amp; " | OTC: " &amp; TEXT(GETPIVOTDATA("refund_amount",$B$54,"program_type","OTC"),"0.000") &amp; " | SAFE-T: " &amp; TEXT(GETPIVOTDATA("refund_amount",$B$54,"program_type","SAFE-T"),"0.000")</f>
        <v>OP: 0.053 | OTC: 0.022 | SAFE-T: 0.004</v>
      </c>
    </row>
    <row r="65" spans="1:15" x14ac:dyDescent="0.25">
      <c r="A65" s="67" t="s">
        <v>57</v>
      </c>
      <c r="B65" s="67"/>
      <c r="C65" s="67"/>
      <c r="D65" s="67"/>
      <c r="E65" s="67"/>
      <c r="F65" s="67"/>
      <c r="G65" s="67"/>
      <c r="H65" s="67"/>
      <c r="I65" s="67"/>
      <c r="J65" s="67"/>
      <c r="K65" s="67"/>
      <c r="L65" s="67"/>
      <c r="M65" s="67"/>
      <c r="N65" s="67"/>
      <c r="O65" s="67"/>
    </row>
    <row r="69" spans="1:15" x14ac:dyDescent="0.25">
      <c r="B69" s="11" t="s">
        <v>80</v>
      </c>
      <c r="C69" s="11" t="s">
        <v>45</v>
      </c>
    </row>
    <row r="70" spans="1:15" x14ac:dyDescent="0.25">
      <c r="B70" s="11" t="s">
        <v>42</v>
      </c>
      <c r="C70" t="s">
        <v>20</v>
      </c>
      <c r="D70" t="s">
        <v>19</v>
      </c>
      <c r="E70" t="s">
        <v>15</v>
      </c>
    </row>
    <row r="71" spans="1:15" x14ac:dyDescent="0.25">
      <c r="B71" s="12" t="s">
        <v>25</v>
      </c>
      <c r="C71">
        <v>14.07</v>
      </c>
      <c r="D71">
        <v>22.31</v>
      </c>
      <c r="E71">
        <v>24.1</v>
      </c>
    </row>
    <row r="72" spans="1:15" x14ac:dyDescent="0.25">
      <c r="B72" s="12" t="s">
        <v>17</v>
      </c>
      <c r="C72">
        <v>25.81</v>
      </c>
      <c r="D72">
        <v>37.450000000000003</v>
      </c>
      <c r="E72">
        <v>36.85</v>
      </c>
    </row>
    <row r="73" spans="1:15" x14ac:dyDescent="0.25">
      <c r="B73" s="12" t="s">
        <v>23</v>
      </c>
      <c r="C73">
        <v>16.46</v>
      </c>
      <c r="D73">
        <v>24.42</v>
      </c>
      <c r="E73">
        <v>21.65</v>
      </c>
    </row>
    <row r="74" spans="1:15" x14ac:dyDescent="0.25">
      <c r="B74" s="12" t="s">
        <v>16</v>
      </c>
      <c r="C74">
        <v>32.22</v>
      </c>
      <c r="D74">
        <v>41.37</v>
      </c>
      <c r="E74">
        <v>43.91</v>
      </c>
    </row>
    <row r="75" spans="1:15" x14ac:dyDescent="0.25">
      <c r="B75" s="12" t="s">
        <v>24</v>
      </c>
      <c r="C75">
        <v>14.78</v>
      </c>
      <c r="D75">
        <v>23.65</v>
      </c>
      <c r="E75">
        <v>23.86</v>
      </c>
    </row>
    <row r="76" spans="1:15" x14ac:dyDescent="0.25">
      <c r="B76" s="12" t="s">
        <v>18</v>
      </c>
      <c r="C76">
        <v>28.91</v>
      </c>
      <c r="D76">
        <v>33.49</v>
      </c>
      <c r="E76">
        <v>31.89</v>
      </c>
    </row>
    <row r="77" spans="1:15" x14ac:dyDescent="0.25">
      <c r="B77" s="12" t="s">
        <v>26</v>
      </c>
      <c r="C77">
        <v>12.81</v>
      </c>
      <c r="D77">
        <v>19.07</v>
      </c>
      <c r="E77">
        <v>21.69</v>
      </c>
    </row>
    <row r="84" spans="2:6" x14ac:dyDescent="0.25">
      <c r="B84" s="33" t="s">
        <v>69</v>
      </c>
      <c r="C84" s="33" t="s">
        <v>34</v>
      </c>
      <c r="D84" s="6" t="s">
        <v>121</v>
      </c>
      <c r="E84" s="6" t="s">
        <v>122</v>
      </c>
      <c r="F84" s="6" t="s">
        <v>123</v>
      </c>
    </row>
    <row r="85" spans="2:6" x14ac:dyDescent="0.25">
      <c r="B85" s="6">
        <v>125</v>
      </c>
      <c r="C85" s="6" t="s">
        <v>39</v>
      </c>
      <c r="D85" s="28">
        <v>100</v>
      </c>
      <c r="E85" s="28">
        <v>100</v>
      </c>
      <c r="F85" s="28">
        <v>0.61308258899323376</v>
      </c>
    </row>
    <row r="86" spans="2:6" x14ac:dyDescent="0.25">
      <c r="B86" s="6">
        <v>426</v>
      </c>
      <c r="C86" s="6" t="s">
        <v>39</v>
      </c>
      <c r="D86" s="28">
        <v>100</v>
      </c>
      <c r="E86" s="28">
        <v>100</v>
      </c>
      <c r="F86" s="28">
        <v>0.67933470392198547</v>
      </c>
    </row>
    <row r="87" spans="2:6" x14ac:dyDescent="0.25">
      <c r="B87" s="6">
        <v>905</v>
      </c>
      <c r="C87" s="6" t="s">
        <v>39</v>
      </c>
      <c r="D87" s="28">
        <v>100</v>
      </c>
      <c r="E87" s="28">
        <v>100</v>
      </c>
      <c r="F87" s="28">
        <v>0.75302538243413275</v>
      </c>
    </row>
    <row r="88" spans="2:6" x14ac:dyDescent="0.25">
      <c r="B88" s="6">
        <v>380</v>
      </c>
      <c r="C88" s="6" t="s">
        <v>39</v>
      </c>
      <c r="D88" s="28">
        <v>100</v>
      </c>
      <c r="E88" s="28">
        <v>100</v>
      </c>
      <c r="F88" s="28">
        <v>0.57009067754708309</v>
      </c>
    </row>
    <row r="89" spans="2:6" x14ac:dyDescent="0.25">
      <c r="B89" s="6">
        <v>432</v>
      </c>
      <c r="C89" s="6" t="s">
        <v>38</v>
      </c>
      <c r="D89" s="28">
        <v>90</v>
      </c>
      <c r="E89" s="28">
        <v>98.701790393448178</v>
      </c>
      <c r="F89" s="28">
        <v>0.68528619461177631</v>
      </c>
    </row>
    <row r="90" spans="2:6" x14ac:dyDescent="0.25">
      <c r="B90" s="6">
        <v>811</v>
      </c>
      <c r="C90" s="6" t="s">
        <v>38</v>
      </c>
      <c r="D90" s="28">
        <v>90</v>
      </c>
      <c r="E90" s="28">
        <v>98.667861064555282</v>
      </c>
      <c r="F90" s="28">
        <v>0.56404492236963466</v>
      </c>
    </row>
    <row r="91" spans="2:6" x14ac:dyDescent="0.25">
      <c r="B91" s="6">
        <v>614</v>
      </c>
      <c r="C91" s="6" t="s">
        <v>39</v>
      </c>
      <c r="D91" s="28">
        <v>92.86</v>
      </c>
      <c r="E91" s="28">
        <v>98.370437337552275</v>
      </c>
      <c r="F91" s="28">
        <v>0.6271631268059249</v>
      </c>
    </row>
    <row r="92" spans="2:6" x14ac:dyDescent="0.25">
      <c r="B92" s="6">
        <v>778</v>
      </c>
      <c r="C92" s="6" t="s">
        <v>38</v>
      </c>
      <c r="D92" s="28">
        <v>90</v>
      </c>
      <c r="E92" s="28">
        <v>98.156379800335202</v>
      </c>
      <c r="F92" s="28">
        <v>0.75312211387353467</v>
      </c>
    </row>
    <row r="93" spans="2:6" x14ac:dyDescent="0.25">
      <c r="B93" s="6">
        <v>765</v>
      </c>
      <c r="C93" s="6" t="s">
        <v>39</v>
      </c>
      <c r="D93" s="28">
        <v>92.31</v>
      </c>
      <c r="E93" s="28">
        <v>96.742818756495126</v>
      </c>
      <c r="F93" s="28">
        <v>0.61640666884606332</v>
      </c>
    </row>
    <row r="94" spans="2:6" x14ac:dyDescent="0.25">
      <c r="B94" s="6">
        <v>351</v>
      </c>
      <c r="C94" s="6" t="s">
        <v>39</v>
      </c>
      <c r="D94" s="28">
        <v>91.67</v>
      </c>
      <c r="E94" s="28">
        <v>96.341957047197212</v>
      </c>
      <c r="F94" s="28">
        <v>0.67273123530608947</v>
      </c>
    </row>
    <row r="98" spans="2:10" ht="20.25" customHeight="1" x14ac:dyDescent="0.25">
      <c r="B98" s="23"/>
      <c r="C98" s="23"/>
      <c r="D98" s="23"/>
      <c r="E98" s="23"/>
      <c r="F98" s="19"/>
      <c r="G98" s="19"/>
      <c r="H98" s="19"/>
    </row>
    <row r="99" spans="2:10" ht="20.25" customHeight="1" x14ac:dyDescent="0.25"/>
    <row r="100" spans="2:10" ht="20.25" customHeight="1" x14ac:dyDescent="0.25">
      <c r="J100" s="15" t="s">
        <v>110</v>
      </c>
    </row>
    <row r="101" spans="2:10" ht="20.25" customHeight="1" x14ac:dyDescent="0.25">
      <c r="C101" s="15" t="s">
        <v>108</v>
      </c>
      <c r="G101" s="15" t="s">
        <v>109</v>
      </c>
      <c r="J101" s="2" t="s">
        <v>9</v>
      </c>
    </row>
    <row r="102" spans="2:10" ht="20.25" customHeight="1" x14ac:dyDescent="0.25">
      <c r="B102" s="11" t="s">
        <v>42</v>
      </c>
      <c r="C102" t="s">
        <v>107</v>
      </c>
      <c r="F102" s="11" t="s">
        <v>42</v>
      </c>
      <c r="G102" t="s">
        <v>46</v>
      </c>
      <c r="J102" s="9">
        <v>0.39200000000000002</v>
      </c>
    </row>
    <row r="103" spans="2:10" ht="20.25" customHeight="1" x14ac:dyDescent="0.25">
      <c r="B103" s="12" t="s">
        <v>20</v>
      </c>
      <c r="C103" s="13">
        <v>36.27428571428571</v>
      </c>
      <c r="F103" s="12" t="s">
        <v>20</v>
      </c>
      <c r="G103" s="13">
        <v>11.122142857142858</v>
      </c>
    </row>
    <row r="104" spans="2:10" ht="20.25" customHeight="1" x14ac:dyDescent="0.25">
      <c r="B104" s="12" t="s">
        <v>19</v>
      </c>
      <c r="C104" s="13">
        <v>48.612857142857145</v>
      </c>
      <c r="F104" s="12" t="s">
        <v>19</v>
      </c>
      <c r="G104" s="13">
        <v>17.297857142857143</v>
      </c>
    </row>
    <row r="105" spans="2:10" ht="20.25" customHeight="1" x14ac:dyDescent="0.25">
      <c r="B105" s="12" t="s">
        <v>15</v>
      </c>
      <c r="C105" s="13">
        <v>48.64142857142857</v>
      </c>
      <c r="F105" s="12" t="s">
        <v>15</v>
      </c>
      <c r="G105" s="13">
        <v>17.458571428571428</v>
      </c>
    </row>
    <row r="106" spans="2:10" ht="20.25" customHeight="1" x14ac:dyDescent="0.25">
      <c r="F106" s="12" t="s">
        <v>43</v>
      </c>
      <c r="G106">
        <v>15.292857142857141</v>
      </c>
    </row>
    <row r="107" spans="2:10" ht="20.25" customHeight="1" x14ac:dyDescent="0.25"/>
    <row r="108" spans="2:10" ht="20.25" customHeight="1" x14ac:dyDescent="0.25">
      <c r="B108" t="str">
        <f xml:space="preserve"> "OP: " &amp; TEXT(GETPIVOTDATA("fraud_refund_share_pct",$B$102,"program_type","OP")/100,"0.00%") &amp; " | OTC: " &amp; TEXT(GETPIVOTDATA("fraud_refund_share_pct",$B$102,"program_type","OTC")/100,"0.00%") &amp; " | SAFE-T: " &amp; TEXT(GETPIVOTDATA("fraud_refund_share_pct",$B$102,"program_type","SAFE-T")/100,"0.00%")</f>
        <v>OP: 36.27% | OTC: 48.61% | SAFE-T: 48.64%</v>
      </c>
    </row>
    <row r="109" spans="2:10" ht="20.25" customHeight="1" x14ac:dyDescent="0.25">
      <c r="G109" t="str">
        <f xml:space="preserve"> "OP: " &amp; TEXT(GETPIVOTDATA("fraud_impact_index",$F$102,"program_type","OP")/100,"0.00%") &amp; " | OTC: " &amp; TEXT(GETPIVOTDATA("fraud_impact_index",$F$102,"program_type","OTC")/100,"0.00%") &amp; " | SAFE-T: " &amp; TEXT(GETPIVOTDATA("fraud_impact_index",$F$102,"program_type","SAFE-T")/100,"0.00%")</f>
        <v>OP: 11.12% | OTC: 17.30% | SAFE-T: 17.46%</v>
      </c>
    </row>
    <row r="110" spans="2:10" ht="20.25" customHeight="1" x14ac:dyDescent="0.25"/>
    <row r="119" spans="2:10" x14ac:dyDescent="0.25">
      <c r="B119" s="23"/>
      <c r="C119" s="23"/>
      <c r="D119" s="23"/>
      <c r="E119" s="23"/>
      <c r="F119" s="23"/>
      <c r="G119" s="23"/>
      <c r="H119" s="23"/>
      <c r="I119" s="23"/>
      <c r="J119" s="23"/>
    </row>
    <row r="127" spans="2:10" x14ac:dyDescent="0.25">
      <c r="B127" s="11" t="s">
        <v>95</v>
      </c>
      <c r="C127" s="11" t="s">
        <v>45</v>
      </c>
    </row>
    <row r="128" spans="2:10" x14ac:dyDescent="0.25">
      <c r="B128" s="11" t="s">
        <v>42</v>
      </c>
      <c r="C128" t="s">
        <v>19</v>
      </c>
      <c r="D128" t="s">
        <v>15</v>
      </c>
    </row>
    <row r="129" spans="2:4" x14ac:dyDescent="0.25">
      <c r="B129" s="12" t="s">
        <v>81</v>
      </c>
      <c r="C129">
        <v>16.214285714285715</v>
      </c>
      <c r="D129">
        <v>35.711631363805282</v>
      </c>
    </row>
    <row r="130" spans="2:4" x14ac:dyDescent="0.25">
      <c r="B130" s="22" t="s">
        <v>82</v>
      </c>
    </row>
    <row r="131" spans="2:4" x14ac:dyDescent="0.25">
      <c r="B131" s="22" t="s">
        <v>83</v>
      </c>
      <c r="C131">
        <v>-16.007359705611769</v>
      </c>
      <c r="D131">
        <v>26.254545454545443</v>
      </c>
    </row>
    <row r="132" spans="2:4" x14ac:dyDescent="0.25">
      <c r="B132" s="22" t="s">
        <v>84</v>
      </c>
      <c r="C132">
        <v>4.308141657539255</v>
      </c>
      <c r="D132">
        <v>-22.494239631336399</v>
      </c>
    </row>
    <row r="133" spans="2:4" x14ac:dyDescent="0.25">
      <c r="B133" s="22" t="s">
        <v>85</v>
      </c>
      <c r="C133">
        <v>4.2352117605880313</v>
      </c>
      <c r="D133">
        <v>35.711631363805282</v>
      </c>
    </row>
    <row r="134" spans="2:4" x14ac:dyDescent="0.25">
      <c r="B134" s="22" t="s">
        <v>86</v>
      </c>
      <c r="C134">
        <v>7.3875083948959031</v>
      </c>
      <c r="D134">
        <v>-11.199342825848857</v>
      </c>
    </row>
    <row r="135" spans="2:4" x14ac:dyDescent="0.25">
      <c r="B135" s="22" t="s">
        <v>87</v>
      </c>
      <c r="C135">
        <v>5.9724828017510889</v>
      </c>
      <c r="D135">
        <v>-12.426765340733892</v>
      </c>
    </row>
    <row r="136" spans="2:4" x14ac:dyDescent="0.25">
      <c r="B136" s="22" t="s">
        <v>88</v>
      </c>
      <c r="C136">
        <v>-2.1835349660666914</v>
      </c>
      <c r="D136">
        <v>10.316901408450697</v>
      </c>
    </row>
    <row r="137" spans="2:4" x14ac:dyDescent="0.25">
      <c r="B137" s="22" t="s">
        <v>89</v>
      </c>
      <c r="C137">
        <v>-9.8340874811463035</v>
      </c>
      <c r="D137">
        <v>3.1918289179699855E-2</v>
      </c>
    </row>
    <row r="138" spans="2:4" x14ac:dyDescent="0.25">
      <c r="B138" s="22" t="s">
        <v>90</v>
      </c>
      <c r="C138">
        <v>9.8026095684175196</v>
      </c>
      <c r="D138">
        <v>-16.368857689853222</v>
      </c>
    </row>
    <row r="139" spans="2:4" x14ac:dyDescent="0.25">
      <c r="B139" s="22" t="s">
        <v>91</v>
      </c>
      <c r="C139">
        <v>2.1023765996343702</v>
      </c>
      <c r="D139">
        <v>-4.2350247996947754</v>
      </c>
    </row>
    <row r="140" spans="2:4" x14ac:dyDescent="0.25">
      <c r="B140" s="22" t="s">
        <v>92</v>
      </c>
      <c r="C140">
        <v>-16.442852879737391</v>
      </c>
      <c r="D140">
        <v>18.525896414342611</v>
      </c>
    </row>
    <row r="141" spans="2:4" x14ac:dyDescent="0.25">
      <c r="B141" s="22" t="s">
        <v>93</v>
      </c>
      <c r="C141">
        <v>16.214285714285715</v>
      </c>
      <c r="D141">
        <v>6.386554621848739</v>
      </c>
    </row>
    <row r="142" spans="2:4" x14ac:dyDescent="0.25">
      <c r="B142" s="12" t="s">
        <v>94</v>
      </c>
      <c r="C142">
        <v>66.223404255319167</v>
      </c>
      <c r="D142">
        <v>7.7405202130993445</v>
      </c>
    </row>
    <row r="143" spans="2:4" x14ac:dyDescent="0.25">
      <c r="B143" s="22" t="s">
        <v>82</v>
      </c>
      <c r="C143">
        <v>-7.0374923171481196</v>
      </c>
      <c r="D143">
        <v>-1.7693522906793047</v>
      </c>
    </row>
    <row r="144" spans="2:4" x14ac:dyDescent="0.25">
      <c r="B144" s="22" t="s">
        <v>83</v>
      </c>
      <c r="C144">
        <v>-8.7933884297520688</v>
      </c>
      <c r="D144">
        <v>2.6375040205854017</v>
      </c>
    </row>
    <row r="145" spans="2:8" x14ac:dyDescent="0.25">
      <c r="B145" s="22" t="s">
        <v>84</v>
      </c>
      <c r="C145">
        <v>-2.029720913374411</v>
      </c>
      <c r="D145">
        <v>7.7405202130993445</v>
      </c>
    </row>
    <row r="146" spans="2:8" x14ac:dyDescent="0.25">
      <c r="B146" s="22" t="s">
        <v>85</v>
      </c>
      <c r="C146">
        <v>0.48094709581945061</v>
      </c>
      <c r="D146">
        <v>-9.5113438045375318</v>
      </c>
    </row>
    <row r="147" spans="2:8" x14ac:dyDescent="0.25">
      <c r="B147" s="22" t="s">
        <v>86</v>
      </c>
      <c r="C147">
        <v>7.5478645066273886</v>
      </c>
      <c r="D147">
        <v>7.58598521375764</v>
      </c>
    </row>
    <row r="148" spans="2:8" x14ac:dyDescent="0.25">
      <c r="B148" s="22" t="s">
        <v>87</v>
      </c>
      <c r="C148">
        <v>-9.3118794933242164</v>
      </c>
      <c r="D148">
        <v>-4.6907678518075873</v>
      </c>
    </row>
    <row r="149" spans="2:8" x14ac:dyDescent="0.25">
      <c r="B149" s="22" t="s">
        <v>88</v>
      </c>
      <c r="C149">
        <v>30.577576443941123</v>
      </c>
      <c r="D149">
        <v>3.260188087774285</v>
      </c>
    </row>
    <row r="150" spans="2:8" x14ac:dyDescent="0.25">
      <c r="B150" s="22" t="s">
        <v>89</v>
      </c>
      <c r="C150">
        <v>-18.93610870193698</v>
      </c>
      <c r="D150">
        <v>-4.4019429265330867</v>
      </c>
    </row>
    <row r="151" spans="2:8" x14ac:dyDescent="0.25">
      <c r="B151" s="22" t="s">
        <v>90</v>
      </c>
      <c r="C151">
        <v>-7.2753209700427979</v>
      </c>
      <c r="D151">
        <v>-4.3505874880914508</v>
      </c>
    </row>
    <row r="152" spans="2:8" x14ac:dyDescent="0.25">
      <c r="B152" s="22" t="s">
        <v>91</v>
      </c>
      <c r="C152">
        <v>15.692307692307693</v>
      </c>
      <c r="D152">
        <v>-2.4568393094289598</v>
      </c>
    </row>
    <row r="153" spans="2:8" x14ac:dyDescent="0.25">
      <c r="B153" s="22" t="s">
        <v>92</v>
      </c>
      <c r="C153">
        <v>66.223404255319167</v>
      </c>
      <c r="D153">
        <v>-7.1817562968005451</v>
      </c>
    </row>
    <row r="154" spans="2:8" x14ac:dyDescent="0.25">
      <c r="B154" s="12" t="s">
        <v>43</v>
      </c>
      <c r="C154">
        <v>66.223404255319167</v>
      </c>
      <c r="D154">
        <v>35.711631363805282</v>
      </c>
    </row>
    <row r="159" spans="2:8" x14ac:dyDescent="0.25">
      <c r="B159" s="19"/>
      <c r="C159" s="19"/>
      <c r="D159" s="19"/>
      <c r="E159" s="19"/>
      <c r="F159" s="19"/>
      <c r="G159" s="19"/>
      <c r="H159" s="19"/>
    </row>
    <row r="166" spans="2:3" x14ac:dyDescent="0.25">
      <c r="B166" s="11" t="s">
        <v>42</v>
      </c>
      <c r="C166" t="s">
        <v>118</v>
      </c>
    </row>
    <row r="167" spans="2:3" x14ac:dyDescent="0.25">
      <c r="B167" s="12" t="s">
        <v>68</v>
      </c>
      <c r="C167">
        <v>10.6</v>
      </c>
    </row>
    <row r="168" spans="2:3" x14ac:dyDescent="0.25">
      <c r="B168" s="12" t="s">
        <v>66</v>
      </c>
      <c r="C168">
        <v>12</v>
      </c>
    </row>
    <row r="169" spans="2:3" x14ac:dyDescent="0.25">
      <c r="B169" s="12" t="s">
        <v>67</v>
      </c>
      <c r="C169">
        <v>38.79</v>
      </c>
    </row>
    <row r="170" spans="2:3" x14ac:dyDescent="0.25">
      <c r="B170" s="12" t="s">
        <v>43</v>
      </c>
      <c r="C170">
        <v>38.79</v>
      </c>
    </row>
    <row r="178" spans="2:8" x14ac:dyDescent="0.25">
      <c r="B178" s="11" t="s">
        <v>117</v>
      </c>
      <c r="C178" t="s">
        <v>125</v>
      </c>
      <c r="D178" t="s">
        <v>115</v>
      </c>
      <c r="E178" t="s">
        <v>116</v>
      </c>
    </row>
    <row r="179" spans="2:8" x14ac:dyDescent="0.25">
      <c r="B179" s="3" t="s">
        <v>68</v>
      </c>
      <c r="C179" s="3">
        <v>10.6</v>
      </c>
      <c r="D179" s="3">
        <v>0.80100000000000005</v>
      </c>
      <c r="E179" s="3">
        <v>135.02000000000001</v>
      </c>
    </row>
    <row r="180" spans="2:8" x14ac:dyDescent="0.25">
      <c r="B180" s="3" t="s">
        <v>66</v>
      </c>
      <c r="C180" s="3">
        <v>12</v>
      </c>
      <c r="D180" s="3">
        <v>0.20300000000000001</v>
      </c>
      <c r="E180" s="3">
        <v>36.21</v>
      </c>
    </row>
    <row r="181" spans="2:8" x14ac:dyDescent="0.25">
      <c r="B181" s="3" t="s">
        <v>67</v>
      </c>
      <c r="C181" s="3">
        <v>38.79</v>
      </c>
      <c r="D181" s="3">
        <v>0.45600000000000002</v>
      </c>
      <c r="E181" s="3">
        <v>76</v>
      </c>
    </row>
    <row r="188" spans="2:8" x14ac:dyDescent="0.25">
      <c r="B188" s="19"/>
      <c r="C188" s="19"/>
      <c r="D188" s="19"/>
      <c r="E188" s="19"/>
      <c r="F188" s="19"/>
      <c r="G188" s="19"/>
      <c r="H188" s="19"/>
    </row>
    <row r="191" spans="2:8" x14ac:dyDescent="0.25">
      <c r="B191" s="11" t="s">
        <v>13</v>
      </c>
      <c r="C191" s="11" t="s">
        <v>34</v>
      </c>
      <c r="D191" t="s">
        <v>119</v>
      </c>
      <c r="E191" t="s">
        <v>120</v>
      </c>
    </row>
    <row r="192" spans="2:8" x14ac:dyDescent="0.25">
      <c r="B192" s="6" t="s">
        <v>25</v>
      </c>
      <c r="C192" s="6" t="s">
        <v>38</v>
      </c>
      <c r="D192" s="28">
        <v>29.331428571428571</v>
      </c>
      <c r="E192" s="28">
        <v>33.241428571428578</v>
      </c>
    </row>
    <row r="193" spans="2:5" x14ac:dyDescent="0.25">
      <c r="B193" s="6"/>
      <c r="C193" s="6" t="s">
        <v>39</v>
      </c>
      <c r="D193" s="28">
        <v>29.608571428571427</v>
      </c>
      <c r="E193" s="28">
        <v>35.041428571428568</v>
      </c>
    </row>
    <row r="194" spans="2:5" x14ac:dyDescent="0.25">
      <c r="B194" s="6" t="s">
        <v>17</v>
      </c>
      <c r="C194" s="6" t="s">
        <v>38</v>
      </c>
      <c r="D194" s="28">
        <v>40.247142857142862</v>
      </c>
      <c r="E194" s="28">
        <v>60.997142857142855</v>
      </c>
    </row>
    <row r="195" spans="2:5" x14ac:dyDescent="0.25">
      <c r="B195" s="6"/>
      <c r="C195" s="6" t="s">
        <v>39</v>
      </c>
      <c r="D195" s="28">
        <v>40.207142857142856</v>
      </c>
      <c r="E195" s="28">
        <v>61.582857142857144</v>
      </c>
    </row>
    <row r="196" spans="2:5" x14ac:dyDescent="0.25">
      <c r="B196" s="6" t="s">
        <v>23</v>
      </c>
      <c r="C196" s="6" t="s">
        <v>38</v>
      </c>
      <c r="D196" s="28">
        <v>28.431428571428569</v>
      </c>
      <c r="E196" s="28">
        <v>31.447142857142858</v>
      </c>
    </row>
    <row r="197" spans="2:5" x14ac:dyDescent="0.25">
      <c r="B197" s="6"/>
      <c r="C197" s="6" t="s">
        <v>39</v>
      </c>
      <c r="D197" s="28">
        <v>27.99</v>
      </c>
      <c r="E197" s="28">
        <v>31.095714285714287</v>
      </c>
    </row>
    <row r="198" spans="2:5" x14ac:dyDescent="0.25">
      <c r="B198" s="6" t="s">
        <v>16</v>
      </c>
      <c r="C198" s="6" t="s">
        <v>38</v>
      </c>
      <c r="D198" s="28">
        <v>46.142857142857146</v>
      </c>
      <c r="E198" s="28">
        <v>65.597142857142856</v>
      </c>
    </row>
    <row r="199" spans="2:5" x14ac:dyDescent="0.25">
      <c r="B199" s="6"/>
      <c r="C199" s="6" t="s">
        <v>39</v>
      </c>
      <c r="D199" s="28">
        <v>45.82</v>
      </c>
      <c r="E199" s="28">
        <v>65.304285714285712</v>
      </c>
    </row>
    <row r="200" spans="2:5" x14ac:dyDescent="0.25">
      <c r="B200" s="6" t="s">
        <v>24</v>
      </c>
      <c r="C200" s="6" t="s">
        <v>38</v>
      </c>
      <c r="D200" s="28">
        <v>28.857142857142858</v>
      </c>
      <c r="E200" s="28">
        <v>36.867142857142859</v>
      </c>
    </row>
    <row r="201" spans="2:5" x14ac:dyDescent="0.25">
      <c r="B201" s="6"/>
      <c r="C201" s="6" t="s">
        <v>39</v>
      </c>
      <c r="D201" s="28">
        <v>32.057142857142857</v>
      </c>
      <c r="E201" s="28">
        <v>33.018571428571427</v>
      </c>
    </row>
    <row r="202" spans="2:5" x14ac:dyDescent="0.25">
      <c r="B202" s="6" t="s">
        <v>18</v>
      </c>
      <c r="C202" s="6" t="s">
        <v>38</v>
      </c>
      <c r="D202" s="28">
        <v>36.448571428571434</v>
      </c>
      <c r="E202" s="28">
        <v>56.324285714285722</v>
      </c>
    </row>
    <row r="203" spans="2:5" x14ac:dyDescent="0.25">
      <c r="B203" s="6"/>
      <c r="C203" s="6" t="s">
        <v>39</v>
      </c>
      <c r="D203" s="28">
        <v>37.775714285714287</v>
      </c>
      <c r="E203" s="28">
        <v>55.954285714285717</v>
      </c>
    </row>
    <row r="204" spans="2:5" x14ac:dyDescent="0.25">
      <c r="B204" s="6" t="s">
        <v>26</v>
      </c>
      <c r="C204" s="6" t="s">
        <v>38</v>
      </c>
      <c r="D204" s="28">
        <v>26.915714285714284</v>
      </c>
      <c r="E204" s="28">
        <v>35.168571428571433</v>
      </c>
    </row>
    <row r="205" spans="2:5" x14ac:dyDescent="0.25">
      <c r="B205" s="6"/>
      <c r="C205" s="6" t="s">
        <v>39</v>
      </c>
      <c r="D205" s="28">
        <v>26.905714285714289</v>
      </c>
      <c r="E205" s="28">
        <v>32.127142857142857</v>
      </c>
    </row>
  </sheetData>
  <mergeCells count="3">
    <mergeCell ref="A4:O4"/>
    <mergeCell ref="A24:O24"/>
    <mergeCell ref="A65:O65"/>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93F7-314E-4BA2-911F-FE5D14E5BA96}">
  <dimension ref="A1:H64"/>
  <sheetViews>
    <sheetView workbookViewId="0">
      <selection activeCell="H1" sqref="H1"/>
    </sheetView>
  </sheetViews>
  <sheetFormatPr defaultRowHeight="15" x14ac:dyDescent="0.25"/>
  <cols>
    <col min="1" max="1" width="15.85546875" bestFit="1" customWidth="1"/>
    <col min="2" max="2" width="15.42578125" bestFit="1" customWidth="1"/>
    <col min="3" max="3" width="12.5703125" bestFit="1" customWidth="1"/>
    <col min="4" max="4" width="9.5703125" bestFit="1" customWidth="1"/>
    <col min="5" max="5" width="19.28515625" bestFit="1" customWidth="1"/>
    <col min="6" max="6" width="13.140625" bestFit="1" customWidth="1"/>
    <col min="7" max="7" width="13.28515625" bestFit="1" customWidth="1"/>
    <col min="8" max="8" width="21.28515625" bestFit="1" customWidth="1"/>
    <col min="11" max="11" width="13.140625" bestFit="1" customWidth="1"/>
    <col min="12" max="12" width="20.5703125" bestFit="1" customWidth="1"/>
  </cols>
  <sheetData>
    <row r="1" spans="1:8" x14ac:dyDescent="0.25">
      <c r="A1" t="s">
        <v>12</v>
      </c>
      <c r="B1" t="s">
        <v>13</v>
      </c>
      <c r="C1" t="s">
        <v>14</v>
      </c>
      <c r="D1" t="s">
        <v>34</v>
      </c>
      <c r="E1" t="s">
        <v>21</v>
      </c>
      <c r="F1" t="s">
        <v>0</v>
      </c>
      <c r="G1" t="s">
        <v>7</v>
      </c>
      <c r="H1" t="s">
        <v>22</v>
      </c>
    </row>
    <row r="2" spans="1:8" x14ac:dyDescent="0.25">
      <c r="A2" t="s">
        <v>15</v>
      </c>
      <c r="B2" t="s">
        <v>16</v>
      </c>
      <c r="C2">
        <v>43.91</v>
      </c>
    </row>
    <row r="3" spans="1:8" x14ac:dyDescent="0.25">
      <c r="A3" t="s">
        <v>15</v>
      </c>
      <c r="B3" t="s">
        <v>17</v>
      </c>
      <c r="C3">
        <v>36.85</v>
      </c>
    </row>
    <row r="4" spans="1:8" x14ac:dyDescent="0.25">
      <c r="A4" t="s">
        <v>15</v>
      </c>
      <c r="B4" t="s">
        <v>18</v>
      </c>
      <c r="C4">
        <v>31.89</v>
      </c>
    </row>
    <row r="5" spans="1:8" x14ac:dyDescent="0.25">
      <c r="A5" t="s">
        <v>15</v>
      </c>
      <c r="B5" t="s">
        <v>25</v>
      </c>
      <c r="C5">
        <v>24.1</v>
      </c>
    </row>
    <row r="6" spans="1:8" x14ac:dyDescent="0.25">
      <c r="A6" t="s">
        <v>15</v>
      </c>
      <c r="B6" t="s">
        <v>24</v>
      </c>
      <c r="C6">
        <v>23.86</v>
      </c>
    </row>
    <row r="7" spans="1:8" x14ac:dyDescent="0.25">
      <c r="A7" t="s">
        <v>15</v>
      </c>
      <c r="B7" t="s">
        <v>26</v>
      </c>
      <c r="C7">
        <v>21.69</v>
      </c>
    </row>
    <row r="8" spans="1:8" x14ac:dyDescent="0.25">
      <c r="A8" t="s">
        <v>15</v>
      </c>
      <c r="B8" t="s">
        <v>23</v>
      </c>
      <c r="C8">
        <v>21.65</v>
      </c>
    </row>
    <row r="9" spans="1:8" x14ac:dyDescent="0.25">
      <c r="A9" t="s">
        <v>19</v>
      </c>
      <c r="B9" t="s">
        <v>16</v>
      </c>
      <c r="C9">
        <v>41.37</v>
      </c>
    </row>
    <row r="10" spans="1:8" x14ac:dyDescent="0.25">
      <c r="A10" t="s">
        <v>19</v>
      </c>
      <c r="B10" t="s">
        <v>17</v>
      </c>
      <c r="C10">
        <v>37.450000000000003</v>
      </c>
    </row>
    <row r="11" spans="1:8" x14ac:dyDescent="0.25">
      <c r="A11" t="s">
        <v>19</v>
      </c>
      <c r="B11" t="s">
        <v>18</v>
      </c>
      <c r="C11">
        <v>33.49</v>
      </c>
    </row>
    <row r="12" spans="1:8" x14ac:dyDescent="0.25">
      <c r="A12" t="s">
        <v>19</v>
      </c>
      <c r="B12" t="s">
        <v>23</v>
      </c>
      <c r="C12">
        <v>24.42</v>
      </c>
    </row>
    <row r="13" spans="1:8" x14ac:dyDescent="0.25">
      <c r="A13" t="s">
        <v>19</v>
      </c>
      <c r="B13" t="s">
        <v>24</v>
      </c>
      <c r="C13">
        <v>23.65</v>
      </c>
    </row>
    <row r="14" spans="1:8" x14ac:dyDescent="0.25">
      <c r="A14" t="s">
        <v>19</v>
      </c>
      <c r="B14" t="s">
        <v>25</v>
      </c>
      <c r="C14">
        <v>22.31</v>
      </c>
    </row>
    <row r="15" spans="1:8" x14ac:dyDescent="0.25">
      <c r="A15" t="s">
        <v>19</v>
      </c>
      <c r="B15" t="s">
        <v>26</v>
      </c>
      <c r="C15">
        <v>19.07</v>
      </c>
    </row>
    <row r="16" spans="1:8" x14ac:dyDescent="0.25">
      <c r="A16" t="s">
        <v>20</v>
      </c>
      <c r="B16" t="s">
        <v>16</v>
      </c>
      <c r="C16">
        <v>32.22</v>
      </c>
    </row>
    <row r="17" spans="1:8" x14ac:dyDescent="0.25">
      <c r="A17" t="s">
        <v>20</v>
      </c>
      <c r="B17" t="s">
        <v>18</v>
      </c>
      <c r="C17">
        <v>28.91</v>
      </c>
    </row>
    <row r="18" spans="1:8" x14ac:dyDescent="0.25">
      <c r="A18" t="s">
        <v>20</v>
      </c>
      <c r="B18" t="s">
        <v>17</v>
      </c>
      <c r="C18">
        <v>25.81</v>
      </c>
    </row>
    <row r="19" spans="1:8" x14ac:dyDescent="0.25">
      <c r="A19" t="s">
        <v>20</v>
      </c>
      <c r="B19" t="s">
        <v>23</v>
      </c>
      <c r="C19">
        <v>16.46</v>
      </c>
    </row>
    <row r="20" spans="1:8" x14ac:dyDescent="0.25">
      <c r="A20" t="s">
        <v>20</v>
      </c>
      <c r="B20" t="s">
        <v>24</v>
      </c>
      <c r="C20">
        <v>14.78</v>
      </c>
    </row>
    <row r="21" spans="1:8" x14ac:dyDescent="0.25">
      <c r="A21" t="s">
        <v>20</v>
      </c>
      <c r="B21" t="s">
        <v>25</v>
      </c>
      <c r="C21">
        <v>14.07</v>
      </c>
    </row>
    <row r="22" spans="1:8" x14ac:dyDescent="0.25">
      <c r="A22" t="s">
        <v>20</v>
      </c>
      <c r="B22" t="s">
        <v>26</v>
      </c>
      <c r="C22">
        <v>12.81</v>
      </c>
    </row>
    <row r="23" spans="1:8" x14ac:dyDescent="0.25">
      <c r="A23" t="s">
        <v>20</v>
      </c>
      <c r="B23" t="s">
        <v>16</v>
      </c>
      <c r="C23">
        <v>32.11</v>
      </c>
      <c r="D23" t="s">
        <v>38</v>
      </c>
      <c r="E23">
        <v>79</v>
      </c>
      <c r="F23">
        <v>246</v>
      </c>
      <c r="G23">
        <v>70.790000000000006</v>
      </c>
      <c r="H23">
        <v>22.73</v>
      </c>
    </row>
    <row r="24" spans="1:8" x14ac:dyDescent="0.25">
      <c r="A24" t="s">
        <v>20</v>
      </c>
      <c r="B24" t="s">
        <v>23</v>
      </c>
      <c r="C24">
        <v>19.39</v>
      </c>
      <c r="D24" t="s">
        <v>38</v>
      </c>
      <c r="E24">
        <v>19</v>
      </c>
      <c r="F24">
        <v>98</v>
      </c>
      <c r="G24">
        <v>80.819999999999993</v>
      </c>
      <c r="H24">
        <v>15.67</v>
      </c>
    </row>
    <row r="25" spans="1:8" x14ac:dyDescent="0.25">
      <c r="A25" t="s">
        <v>20</v>
      </c>
      <c r="B25" t="s">
        <v>18</v>
      </c>
      <c r="C25">
        <v>34.78</v>
      </c>
      <c r="D25" t="s">
        <v>38</v>
      </c>
      <c r="E25">
        <v>16</v>
      </c>
      <c r="F25">
        <v>46</v>
      </c>
      <c r="G25">
        <v>35.299999999999997</v>
      </c>
      <c r="H25">
        <v>12.28</v>
      </c>
    </row>
    <row r="26" spans="1:8" x14ac:dyDescent="0.25">
      <c r="A26" t="s">
        <v>20</v>
      </c>
      <c r="B26" t="s">
        <v>25</v>
      </c>
      <c r="C26">
        <v>15.56</v>
      </c>
      <c r="D26" t="s">
        <v>38</v>
      </c>
      <c r="E26">
        <v>28</v>
      </c>
      <c r="F26">
        <v>180</v>
      </c>
      <c r="G26">
        <v>58.72</v>
      </c>
      <c r="H26">
        <v>9.1300000000000008</v>
      </c>
    </row>
    <row r="27" spans="1:8" x14ac:dyDescent="0.25">
      <c r="A27" t="s">
        <v>20</v>
      </c>
      <c r="B27" t="s">
        <v>24</v>
      </c>
      <c r="C27">
        <v>12.82</v>
      </c>
      <c r="D27" t="s">
        <v>38</v>
      </c>
      <c r="E27">
        <v>15</v>
      </c>
      <c r="F27">
        <v>117</v>
      </c>
      <c r="G27">
        <v>67.22</v>
      </c>
      <c r="H27">
        <v>8.6199999999999992</v>
      </c>
    </row>
    <row r="28" spans="1:8" x14ac:dyDescent="0.25">
      <c r="A28" t="s">
        <v>20</v>
      </c>
      <c r="B28" t="s">
        <v>17</v>
      </c>
      <c r="C28">
        <v>23.2</v>
      </c>
      <c r="D28" t="s">
        <v>38</v>
      </c>
      <c r="E28">
        <v>29</v>
      </c>
      <c r="F28">
        <v>125</v>
      </c>
      <c r="G28">
        <v>35.64</v>
      </c>
      <c r="H28">
        <v>8.27</v>
      </c>
    </row>
    <row r="29" spans="1:8" x14ac:dyDescent="0.25">
      <c r="A29" t="s">
        <v>20</v>
      </c>
      <c r="B29" t="s">
        <v>26</v>
      </c>
      <c r="C29">
        <v>10.39</v>
      </c>
      <c r="D29" t="s">
        <v>38</v>
      </c>
      <c r="E29">
        <v>8</v>
      </c>
      <c r="F29">
        <v>77</v>
      </c>
      <c r="G29">
        <v>52.63</v>
      </c>
      <c r="H29">
        <v>5.47</v>
      </c>
    </row>
    <row r="30" spans="1:8" x14ac:dyDescent="0.25">
      <c r="A30" t="s">
        <v>20</v>
      </c>
      <c r="B30" t="s">
        <v>16</v>
      </c>
      <c r="C30">
        <v>32.29</v>
      </c>
      <c r="D30" t="s">
        <v>39</v>
      </c>
      <c r="E30">
        <v>114</v>
      </c>
      <c r="F30">
        <v>353</v>
      </c>
      <c r="G30">
        <v>63.74</v>
      </c>
      <c r="H30">
        <v>20.58</v>
      </c>
    </row>
    <row r="31" spans="1:8" x14ac:dyDescent="0.25">
      <c r="A31" t="s">
        <v>20</v>
      </c>
      <c r="B31" t="s">
        <v>24</v>
      </c>
      <c r="C31">
        <v>15.92</v>
      </c>
      <c r="D31" t="s">
        <v>39</v>
      </c>
      <c r="E31">
        <v>32</v>
      </c>
      <c r="F31">
        <v>201</v>
      </c>
      <c r="G31">
        <v>76.400000000000006</v>
      </c>
      <c r="H31">
        <v>12.16</v>
      </c>
    </row>
    <row r="32" spans="1:8" x14ac:dyDescent="0.25">
      <c r="A32" t="s">
        <v>20</v>
      </c>
      <c r="B32" t="s">
        <v>25</v>
      </c>
      <c r="C32">
        <v>13.09</v>
      </c>
      <c r="D32" t="s">
        <v>39</v>
      </c>
      <c r="E32">
        <v>36</v>
      </c>
      <c r="F32">
        <v>275</v>
      </c>
      <c r="G32">
        <v>80.790000000000006</v>
      </c>
      <c r="H32">
        <v>10.58</v>
      </c>
    </row>
    <row r="33" spans="1:8" x14ac:dyDescent="0.25">
      <c r="A33" t="s">
        <v>20</v>
      </c>
      <c r="B33" t="s">
        <v>23</v>
      </c>
      <c r="C33">
        <v>14.39</v>
      </c>
      <c r="D33" t="s">
        <v>39</v>
      </c>
      <c r="E33">
        <v>20</v>
      </c>
      <c r="F33">
        <v>139</v>
      </c>
      <c r="G33">
        <v>60.11</v>
      </c>
      <c r="H33">
        <v>8.65</v>
      </c>
    </row>
    <row r="34" spans="1:8" x14ac:dyDescent="0.25">
      <c r="A34" t="s">
        <v>20</v>
      </c>
      <c r="B34" t="s">
        <v>18</v>
      </c>
      <c r="C34">
        <v>25.61</v>
      </c>
      <c r="D34" t="s">
        <v>39</v>
      </c>
      <c r="E34">
        <v>21</v>
      </c>
      <c r="F34">
        <v>82</v>
      </c>
      <c r="G34">
        <v>32.81</v>
      </c>
      <c r="H34">
        <v>8.4</v>
      </c>
    </row>
    <row r="35" spans="1:8" x14ac:dyDescent="0.25">
      <c r="A35" t="s">
        <v>20</v>
      </c>
      <c r="B35" t="s">
        <v>26</v>
      </c>
      <c r="C35">
        <v>14.29</v>
      </c>
      <c r="D35" t="s">
        <v>39</v>
      </c>
      <c r="E35">
        <v>18</v>
      </c>
      <c r="F35">
        <v>126</v>
      </c>
      <c r="G35">
        <v>52.45</v>
      </c>
      <c r="H35">
        <v>7.49</v>
      </c>
    </row>
    <row r="36" spans="1:8" x14ac:dyDescent="0.25">
      <c r="A36" t="s">
        <v>20</v>
      </c>
      <c r="B36" t="s">
        <v>17</v>
      </c>
      <c r="C36">
        <v>27.57</v>
      </c>
      <c r="D36" t="s">
        <v>39</v>
      </c>
      <c r="E36">
        <v>51</v>
      </c>
      <c r="F36">
        <v>185</v>
      </c>
      <c r="G36">
        <v>20.61</v>
      </c>
      <c r="H36">
        <v>5.68</v>
      </c>
    </row>
    <row r="37" spans="1:8" x14ac:dyDescent="0.25">
      <c r="A37" t="s">
        <v>19</v>
      </c>
      <c r="B37" t="s">
        <v>16</v>
      </c>
      <c r="C37">
        <v>42.86</v>
      </c>
      <c r="D37" t="s">
        <v>38</v>
      </c>
      <c r="E37">
        <v>153</v>
      </c>
      <c r="F37">
        <v>357</v>
      </c>
      <c r="G37">
        <v>74.95</v>
      </c>
      <c r="H37">
        <v>32.119999999999997</v>
      </c>
    </row>
    <row r="38" spans="1:8" x14ac:dyDescent="0.25">
      <c r="A38" t="s">
        <v>19</v>
      </c>
      <c r="B38" t="s">
        <v>24</v>
      </c>
      <c r="C38">
        <v>26.24</v>
      </c>
      <c r="D38" t="s">
        <v>38</v>
      </c>
      <c r="E38">
        <v>58</v>
      </c>
      <c r="F38">
        <v>221</v>
      </c>
      <c r="G38">
        <v>95.44</v>
      </c>
      <c r="H38">
        <v>25.05</v>
      </c>
    </row>
    <row r="39" spans="1:8" x14ac:dyDescent="0.25">
      <c r="A39" t="s">
        <v>19</v>
      </c>
      <c r="B39" t="s">
        <v>26</v>
      </c>
      <c r="C39">
        <v>25.5</v>
      </c>
      <c r="D39" t="s">
        <v>38</v>
      </c>
      <c r="E39">
        <v>38</v>
      </c>
      <c r="F39">
        <v>149</v>
      </c>
      <c r="G39">
        <v>75.180000000000007</v>
      </c>
      <c r="H39">
        <v>19.170000000000002</v>
      </c>
    </row>
    <row r="40" spans="1:8" x14ac:dyDescent="0.25">
      <c r="A40" t="s">
        <v>19</v>
      </c>
      <c r="B40" t="s">
        <v>23</v>
      </c>
      <c r="C40">
        <v>20</v>
      </c>
      <c r="D40" t="s">
        <v>38</v>
      </c>
      <c r="E40">
        <v>30</v>
      </c>
      <c r="F40">
        <v>150</v>
      </c>
      <c r="G40">
        <v>83.95</v>
      </c>
      <c r="H40">
        <v>16.79</v>
      </c>
    </row>
    <row r="41" spans="1:8" x14ac:dyDescent="0.25">
      <c r="A41" t="s">
        <v>19</v>
      </c>
      <c r="B41" t="s">
        <v>25</v>
      </c>
      <c r="C41">
        <v>21.11</v>
      </c>
      <c r="D41" t="s">
        <v>38</v>
      </c>
      <c r="E41">
        <v>57</v>
      </c>
      <c r="F41">
        <v>270</v>
      </c>
      <c r="G41">
        <v>67.62</v>
      </c>
      <c r="H41">
        <v>14.28</v>
      </c>
    </row>
    <row r="42" spans="1:8" x14ac:dyDescent="0.25">
      <c r="A42" t="s">
        <v>19</v>
      </c>
      <c r="B42" t="s">
        <v>17</v>
      </c>
      <c r="C42">
        <v>42.45</v>
      </c>
      <c r="D42" t="s">
        <v>38</v>
      </c>
      <c r="E42">
        <v>90</v>
      </c>
      <c r="F42">
        <v>212</v>
      </c>
      <c r="G42">
        <v>23.89</v>
      </c>
      <c r="H42">
        <v>10.14</v>
      </c>
    </row>
    <row r="43" spans="1:8" x14ac:dyDescent="0.25">
      <c r="A43" t="s">
        <v>19</v>
      </c>
      <c r="B43" t="s">
        <v>18</v>
      </c>
      <c r="C43">
        <v>30.38</v>
      </c>
      <c r="D43" t="s">
        <v>38</v>
      </c>
      <c r="E43">
        <v>24</v>
      </c>
      <c r="F43">
        <v>79</v>
      </c>
      <c r="G43">
        <v>28.91</v>
      </c>
      <c r="H43">
        <v>8.7799999999999994</v>
      </c>
    </row>
    <row r="44" spans="1:8" x14ac:dyDescent="0.25">
      <c r="A44" t="s">
        <v>19</v>
      </c>
      <c r="B44" t="s">
        <v>16</v>
      </c>
      <c r="C44">
        <v>40.47</v>
      </c>
      <c r="D44" t="s">
        <v>39</v>
      </c>
      <c r="E44">
        <v>240</v>
      </c>
      <c r="F44">
        <v>593</v>
      </c>
      <c r="G44">
        <v>81.41</v>
      </c>
      <c r="H44">
        <v>32.950000000000003</v>
      </c>
    </row>
    <row r="45" spans="1:8" x14ac:dyDescent="0.25">
      <c r="A45" t="s">
        <v>19</v>
      </c>
      <c r="B45" t="s">
        <v>23</v>
      </c>
      <c r="C45">
        <v>27.2</v>
      </c>
      <c r="D45" t="s">
        <v>39</v>
      </c>
      <c r="E45">
        <v>65</v>
      </c>
      <c r="F45">
        <v>239</v>
      </c>
      <c r="G45">
        <v>87.96</v>
      </c>
      <c r="H45">
        <v>23.92</v>
      </c>
    </row>
    <row r="46" spans="1:8" x14ac:dyDescent="0.25">
      <c r="A46" t="s">
        <v>19</v>
      </c>
      <c r="B46" t="s">
        <v>25</v>
      </c>
      <c r="C46">
        <v>22.95</v>
      </c>
      <c r="D46" t="s">
        <v>39</v>
      </c>
      <c r="E46">
        <v>115</v>
      </c>
      <c r="F46">
        <v>501</v>
      </c>
      <c r="G46">
        <v>71.58</v>
      </c>
      <c r="H46">
        <v>16.43</v>
      </c>
    </row>
    <row r="47" spans="1:8" x14ac:dyDescent="0.25">
      <c r="A47" t="s">
        <v>19</v>
      </c>
      <c r="B47" t="s">
        <v>24</v>
      </c>
      <c r="C47">
        <v>22.03</v>
      </c>
      <c r="D47" t="s">
        <v>39</v>
      </c>
      <c r="E47">
        <v>78</v>
      </c>
      <c r="F47">
        <v>354</v>
      </c>
      <c r="G47">
        <v>72.23</v>
      </c>
      <c r="H47">
        <v>15.91</v>
      </c>
    </row>
    <row r="48" spans="1:8" x14ac:dyDescent="0.25">
      <c r="A48" t="s">
        <v>19</v>
      </c>
      <c r="B48" t="s">
        <v>18</v>
      </c>
      <c r="C48">
        <v>35.29</v>
      </c>
      <c r="D48" t="s">
        <v>39</v>
      </c>
      <c r="E48">
        <v>48</v>
      </c>
      <c r="F48">
        <v>136</v>
      </c>
      <c r="G48">
        <v>31.43</v>
      </c>
      <c r="H48">
        <v>11.09</v>
      </c>
    </row>
    <row r="49" spans="1:8" x14ac:dyDescent="0.25">
      <c r="A49" t="s">
        <v>19</v>
      </c>
      <c r="B49" t="s">
        <v>26</v>
      </c>
      <c r="C49">
        <v>14.68</v>
      </c>
      <c r="D49" t="s">
        <v>39</v>
      </c>
      <c r="E49">
        <v>32</v>
      </c>
      <c r="F49">
        <v>218</v>
      </c>
      <c r="G49">
        <v>63.44</v>
      </c>
      <c r="H49">
        <v>9.31</v>
      </c>
    </row>
    <row r="50" spans="1:8" x14ac:dyDescent="0.25">
      <c r="A50" t="s">
        <v>19</v>
      </c>
      <c r="B50" t="s">
        <v>17</v>
      </c>
      <c r="C50">
        <v>34.08</v>
      </c>
      <c r="D50" t="s">
        <v>39</v>
      </c>
      <c r="E50">
        <v>107</v>
      </c>
      <c r="F50">
        <v>314</v>
      </c>
      <c r="G50">
        <v>18.28</v>
      </c>
      <c r="H50">
        <v>6.23</v>
      </c>
    </row>
    <row r="51" spans="1:8" x14ac:dyDescent="0.25">
      <c r="A51" t="s">
        <v>15</v>
      </c>
      <c r="B51" t="s">
        <v>16</v>
      </c>
      <c r="C51">
        <v>40.61</v>
      </c>
      <c r="D51" t="s">
        <v>38</v>
      </c>
      <c r="E51">
        <v>199</v>
      </c>
      <c r="F51">
        <v>490</v>
      </c>
      <c r="G51">
        <v>90.92</v>
      </c>
      <c r="H51">
        <v>36.93</v>
      </c>
    </row>
    <row r="52" spans="1:8" x14ac:dyDescent="0.25">
      <c r="A52" t="s">
        <v>15</v>
      </c>
      <c r="B52" t="s">
        <v>25</v>
      </c>
      <c r="C52">
        <v>23.63</v>
      </c>
      <c r="D52" t="s">
        <v>38</v>
      </c>
      <c r="E52">
        <v>95</v>
      </c>
      <c r="F52">
        <v>402</v>
      </c>
      <c r="G52">
        <v>69.98</v>
      </c>
      <c r="H52">
        <v>16.54</v>
      </c>
    </row>
    <row r="53" spans="1:8" x14ac:dyDescent="0.25">
      <c r="A53" t="s">
        <v>15</v>
      </c>
      <c r="B53" t="s">
        <v>23</v>
      </c>
      <c r="C53">
        <v>21.43</v>
      </c>
      <c r="D53" t="s">
        <v>38</v>
      </c>
      <c r="E53">
        <v>45</v>
      </c>
      <c r="F53">
        <v>210</v>
      </c>
      <c r="G53">
        <v>70.81</v>
      </c>
      <c r="H53">
        <v>15.17</v>
      </c>
    </row>
    <row r="54" spans="1:8" x14ac:dyDescent="0.25">
      <c r="A54" t="s">
        <v>15</v>
      </c>
      <c r="B54" t="s">
        <v>24</v>
      </c>
      <c r="C54">
        <v>19.79</v>
      </c>
      <c r="D54" t="s">
        <v>38</v>
      </c>
      <c r="E54">
        <v>56</v>
      </c>
      <c r="F54">
        <v>283</v>
      </c>
      <c r="G54">
        <v>66.760000000000005</v>
      </c>
      <c r="H54">
        <v>13.21</v>
      </c>
    </row>
    <row r="55" spans="1:8" x14ac:dyDescent="0.25">
      <c r="A55" t="s">
        <v>15</v>
      </c>
      <c r="B55" t="s">
        <v>26</v>
      </c>
      <c r="C55">
        <v>20.11</v>
      </c>
      <c r="D55" t="s">
        <v>38</v>
      </c>
      <c r="E55">
        <v>36</v>
      </c>
      <c r="F55">
        <v>179</v>
      </c>
      <c r="G55">
        <v>61.59</v>
      </c>
      <c r="H55">
        <v>12.39</v>
      </c>
    </row>
    <row r="56" spans="1:8" x14ac:dyDescent="0.25">
      <c r="A56" t="s">
        <v>15</v>
      </c>
      <c r="B56" t="s">
        <v>17</v>
      </c>
      <c r="C56">
        <v>35.869999999999997</v>
      </c>
      <c r="D56" t="s">
        <v>38</v>
      </c>
      <c r="E56">
        <v>99</v>
      </c>
      <c r="F56">
        <v>276</v>
      </c>
      <c r="G56">
        <v>28.07</v>
      </c>
      <c r="H56">
        <v>10.07</v>
      </c>
    </row>
    <row r="57" spans="1:8" x14ac:dyDescent="0.25">
      <c r="A57" t="s">
        <v>15</v>
      </c>
      <c r="B57" t="s">
        <v>18</v>
      </c>
      <c r="C57">
        <v>31.58</v>
      </c>
      <c r="D57" t="s">
        <v>38</v>
      </c>
      <c r="E57">
        <v>36</v>
      </c>
      <c r="F57">
        <v>114</v>
      </c>
      <c r="G57">
        <v>17.64</v>
      </c>
      <c r="H57">
        <v>5.57</v>
      </c>
    </row>
    <row r="58" spans="1:8" x14ac:dyDescent="0.25">
      <c r="A58" t="s">
        <v>15</v>
      </c>
      <c r="B58" t="s">
        <v>16</v>
      </c>
      <c r="C58">
        <v>45.95</v>
      </c>
      <c r="D58" t="s">
        <v>39</v>
      </c>
      <c r="E58">
        <v>363</v>
      </c>
      <c r="F58">
        <v>790</v>
      </c>
      <c r="G58">
        <v>90.78</v>
      </c>
      <c r="H58">
        <v>41.71</v>
      </c>
    </row>
    <row r="59" spans="1:8" x14ac:dyDescent="0.25">
      <c r="A59" t="s">
        <v>15</v>
      </c>
      <c r="B59" t="s">
        <v>24</v>
      </c>
      <c r="C59">
        <v>26.62</v>
      </c>
      <c r="D59" t="s">
        <v>39</v>
      </c>
      <c r="E59">
        <v>111</v>
      </c>
      <c r="F59">
        <v>417</v>
      </c>
      <c r="G59">
        <v>76.180000000000007</v>
      </c>
      <c r="H59">
        <v>20.28</v>
      </c>
    </row>
    <row r="60" spans="1:8" x14ac:dyDescent="0.25">
      <c r="A60" t="s">
        <v>15</v>
      </c>
      <c r="B60" t="s">
        <v>23</v>
      </c>
      <c r="C60">
        <v>21.81</v>
      </c>
      <c r="D60" t="s">
        <v>39</v>
      </c>
      <c r="E60">
        <v>65</v>
      </c>
      <c r="F60">
        <v>298</v>
      </c>
      <c r="G60">
        <v>79.8</v>
      </c>
      <c r="H60">
        <v>17.41</v>
      </c>
    </row>
    <row r="61" spans="1:8" x14ac:dyDescent="0.25">
      <c r="A61" t="s">
        <v>15</v>
      </c>
      <c r="B61" t="s">
        <v>25</v>
      </c>
      <c r="C61">
        <v>24.41</v>
      </c>
      <c r="D61" t="s">
        <v>39</v>
      </c>
      <c r="E61">
        <v>145</v>
      </c>
      <c r="F61">
        <v>594</v>
      </c>
      <c r="G61">
        <v>66.680000000000007</v>
      </c>
      <c r="H61">
        <v>16.28</v>
      </c>
    </row>
    <row r="62" spans="1:8" x14ac:dyDescent="0.25">
      <c r="A62" t="s">
        <v>15</v>
      </c>
      <c r="B62" t="s">
        <v>17</v>
      </c>
      <c r="C62">
        <v>37.47</v>
      </c>
      <c r="D62" t="s">
        <v>39</v>
      </c>
      <c r="E62">
        <v>163</v>
      </c>
      <c r="F62">
        <v>435</v>
      </c>
      <c r="G62">
        <v>36.700000000000003</v>
      </c>
      <c r="H62">
        <v>13.75</v>
      </c>
    </row>
    <row r="63" spans="1:8" x14ac:dyDescent="0.25">
      <c r="A63" t="s">
        <v>15</v>
      </c>
      <c r="B63" t="s">
        <v>26</v>
      </c>
      <c r="C63">
        <v>22.7</v>
      </c>
      <c r="D63" t="s">
        <v>39</v>
      </c>
      <c r="E63">
        <v>64</v>
      </c>
      <c r="F63">
        <v>282</v>
      </c>
      <c r="G63">
        <v>60.16</v>
      </c>
      <c r="H63">
        <v>13.65</v>
      </c>
    </row>
    <row r="64" spans="1:8" x14ac:dyDescent="0.25">
      <c r="A64" t="s">
        <v>15</v>
      </c>
      <c r="B64" t="s">
        <v>18</v>
      </c>
      <c r="C64">
        <v>32.090000000000003</v>
      </c>
      <c r="D64" t="s">
        <v>39</v>
      </c>
      <c r="E64">
        <v>60</v>
      </c>
      <c r="F64">
        <v>187</v>
      </c>
      <c r="G64">
        <v>35.729999999999997</v>
      </c>
      <c r="H64">
        <v>11.46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1CD39-3D2B-47F5-B835-96D36697A7F4}">
  <dimension ref="A4:R30"/>
  <sheetViews>
    <sheetView workbookViewId="0">
      <selection activeCell="A4" sqref="A4:N4"/>
    </sheetView>
  </sheetViews>
  <sheetFormatPr defaultRowHeight="15" x14ac:dyDescent="0.25"/>
  <cols>
    <col min="2" max="2" width="13.5703125" bestFit="1" customWidth="1"/>
    <col min="3" max="3" width="14.28515625" bestFit="1" customWidth="1"/>
    <col min="5" max="5" width="4.85546875" customWidth="1"/>
    <col min="7" max="7" width="7.28515625" bestFit="1" customWidth="1"/>
    <col min="8" max="8" width="22.85546875" bestFit="1" customWidth="1"/>
    <col min="12" max="12" width="15.85546875" bestFit="1" customWidth="1"/>
    <col min="13" max="13" width="19.42578125" bestFit="1" customWidth="1"/>
  </cols>
  <sheetData>
    <row r="4" spans="1:18" x14ac:dyDescent="0.25">
      <c r="A4" s="67" t="s">
        <v>48</v>
      </c>
      <c r="B4" s="67"/>
      <c r="C4" s="67"/>
      <c r="D4" s="67"/>
      <c r="E4" s="67"/>
      <c r="F4" s="67"/>
      <c r="G4" s="67"/>
      <c r="H4" s="67"/>
      <c r="I4" s="67"/>
      <c r="J4" s="67"/>
      <c r="K4" s="67"/>
      <c r="L4" s="67"/>
      <c r="M4" s="67"/>
      <c r="N4" s="67"/>
      <c r="O4" s="67"/>
    </row>
    <row r="7" spans="1:18" x14ac:dyDescent="0.25">
      <c r="E7" s="19"/>
      <c r="G7" s="8" t="s">
        <v>34</v>
      </c>
      <c r="H7" s="2" t="s">
        <v>36</v>
      </c>
      <c r="J7" s="19"/>
      <c r="L7" s="20"/>
      <c r="M7" s="20"/>
    </row>
    <row r="8" spans="1:18" x14ac:dyDescent="0.25">
      <c r="B8" s="18" t="s">
        <v>12</v>
      </c>
      <c r="C8" s="18" t="s">
        <v>32</v>
      </c>
      <c r="E8" s="19"/>
      <c r="G8" s="16" t="s">
        <v>38</v>
      </c>
      <c r="H8" s="9">
        <v>22.5</v>
      </c>
      <c r="J8" s="19"/>
      <c r="P8" s="20"/>
      <c r="Q8" s="20"/>
      <c r="R8" s="20"/>
    </row>
    <row r="9" spans="1:18" x14ac:dyDescent="0.25">
      <c r="B9" t="s">
        <v>15</v>
      </c>
      <c r="C9">
        <v>26.1</v>
      </c>
      <c r="E9" s="19"/>
      <c r="G9" s="17" t="s">
        <v>39</v>
      </c>
      <c r="H9" s="10">
        <v>22.04</v>
      </c>
      <c r="J9" s="19"/>
    </row>
    <row r="10" spans="1:18" x14ac:dyDescent="0.25">
      <c r="B10" t="s">
        <v>20</v>
      </c>
      <c r="C10">
        <v>22.22</v>
      </c>
      <c r="E10" s="19"/>
      <c r="G10" s="16" t="s">
        <v>38</v>
      </c>
      <c r="H10" s="9">
        <v>6.68</v>
      </c>
      <c r="J10" s="19"/>
    </row>
    <row r="11" spans="1:18" x14ac:dyDescent="0.25">
      <c r="B11" t="s">
        <v>19</v>
      </c>
      <c r="C11">
        <v>6.51</v>
      </c>
      <c r="E11" s="19"/>
      <c r="G11" s="17" t="s">
        <v>39</v>
      </c>
      <c r="H11" s="10">
        <v>6.41</v>
      </c>
      <c r="J11" s="19"/>
    </row>
    <row r="12" spans="1:18" x14ac:dyDescent="0.25">
      <c r="E12" s="19"/>
      <c r="G12" s="16" t="s">
        <v>38</v>
      </c>
      <c r="H12" s="9">
        <v>26.1</v>
      </c>
      <c r="J12" s="19"/>
    </row>
    <row r="13" spans="1:18" x14ac:dyDescent="0.25">
      <c r="E13" s="19"/>
      <c r="G13" s="17" t="s">
        <v>39</v>
      </c>
      <c r="H13" s="10">
        <v>26.11</v>
      </c>
      <c r="J13" s="19"/>
    </row>
    <row r="14" spans="1:18" x14ac:dyDescent="0.25">
      <c r="B14" t="str">
        <f xml:space="preserve"> "OP: " &amp; TEXT(C10/100,"0.00%") &amp; " | OTC: " &amp; TEXT(C11/100,"0.00%") &amp; " | SAFE-T: " &amp; TEXT(C9/100,"0.00%")</f>
        <v>OP: 22.22% | OTC: 6.51% | SAFE-T: 26.10%</v>
      </c>
      <c r="E14" s="19"/>
      <c r="J14" s="19"/>
    </row>
    <row r="15" spans="1:18" x14ac:dyDescent="0.25">
      <c r="E15" s="19"/>
      <c r="G15" s="8" t="s">
        <v>34</v>
      </c>
      <c r="H15" s="2" t="s">
        <v>36</v>
      </c>
      <c r="J15" s="19"/>
    </row>
    <row r="16" spans="1:18" x14ac:dyDescent="0.25">
      <c r="E16" s="19"/>
      <c r="G16" s="16" t="s">
        <v>38</v>
      </c>
      <c r="H16" s="13">
        <f>AVERAGE(H8,H10,H12)</f>
        <v>18.426666666666666</v>
      </c>
      <c r="J16" s="19"/>
    </row>
    <row r="17" spans="1:15" x14ac:dyDescent="0.25">
      <c r="E17" s="19"/>
      <c r="G17" s="17" t="s">
        <v>39</v>
      </c>
      <c r="H17" s="13">
        <f>AVERAGE(H9,H11,H13)</f>
        <v>18.186666666666667</v>
      </c>
      <c r="J17" s="19"/>
    </row>
    <row r="18" spans="1:15" x14ac:dyDescent="0.25">
      <c r="E18" s="19"/>
      <c r="J18" s="19"/>
      <c r="L18" s="20"/>
      <c r="M18" s="20"/>
    </row>
    <row r="19" spans="1:15" x14ac:dyDescent="0.25">
      <c r="E19" s="19"/>
      <c r="J19" s="19"/>
    </row>
    <row r="20" spans="1:15" x14ac:dyDescent="0.25">
      <c r="E20" s="19"/>
      <c r="H20" t="str">
        <f xml:space="preserve"> "EU: " &amp; TEXT(H16/100,"0.00%") &amp; " | NAM: " &amp; TEXT(H17/100,"0.00%")</f>
        <v>EU: 18.43% | NAM: 18.19%</v>
      </c>
      <c r="J20" s="19"/>
    </row>
    <row r="21" spans="1:15" x14ac:dyDescent="0.25">
      <c r="E21" s="19"/>
      <c r="J21" s="19"/>
    </row>
    <row r="22" spans="1:15" x14ac:dyDescent="0.25">
      <c r="E22" s="19"/>
      <c r="J22" s="19"/>
    </row>
    <row r="23" spans="1:15" x14ac:dyDescent="0.25">
      <c r="E23" s="19"/>
    </row>
    <row r="30" spans="1:15" x14ac:dyDescent="0.25">
      <c r="A30" s="68"/>
      <c r="B30" s="68"/>
      <c r="C30" s="68"/>
      <c r="D30" s="68"/>
      <c r="E30" s="68"/>
      <c r="F30" s="68"/>
      <c r="G30" s="68"/>
      <c r="H30" s="68"/>
      <c r="I30" s="68"/>
      <c r="J30" s="68"/>
      <c r="K30" s="68"/>
      <c r="L30" s="68"/>
      <c r="M30" s="68"/>
      <c r="N30" s="68"/>
      <c r="O30" s="68"/>
    </row>
  </sheetData>
  <mergeCells count="2">
    <mergeCell ref="A4:O4"/>
    <mergeCell ref="A30:O30"/>
  </mergeCells>
  <conditionalFormatting sqref="C9:C11">
    <cfRule type="colorScale" priority="1">
      <colorScale>
        <cfvo type="min"/>
        <cfvo type="percentile" val="50"/>
        <cfvo type="max"/>
        <color rgb="FF63BE7B"/>
        <color rgb="FFFFEB84"/>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1B7906-1F88-4CB9-A827-4313EB807C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overview_tab</vt:lpstr>
      <vt:lpstr>kpi_overview </vt:lpstr>
      <vt:lpstr>category_fraud_rate (2)</vt:lpstr>
      <vt:lpstr>category_fraud_impact</vt:lpstr>
      <vt:lpstr>Overview &amp; KPIs</vt:lpstr>
      <vt:lpstr>sla_performance_summary</vt:lpstr>
      <vt:lpstr>refund_time_correlation</vt:lpstr>
      <vt:lpstr>program_sla_summary</vt:lpstr>
      <vt:lpstr>sla_fraud_link</vt:lpstr>
      <vt:lpstr>Operational Efficiency</vt:lpstr>
      <vt:lpstr>trend</vt:lpstr>
      <vt:lpstr>Fraud Distribution Ovw</vt:lpstr>
      <vt:lpstr>seller_fraud_summary</vt:lpstr>
      <vt:lpstr>riskbands_category_hotspots</vt:lpstr>
      <vt:lpstr>market_category_hots</vt:lpstr>
      <vt:lpstr>df_category_fraud_summary</vt:lpstr>
      <vt:lpstr>Pivot_calc</vt:lpstr>
      <vt:lpstr>fII_fraud_rate_append</vt:lpstr>
      <vt:lpstr>Helper_Sheet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india</dc:creator>
  <cp:lastModifiedBy>india</cp:lastModifiedBy>
  <cp:lastPrinted>2025-10-16T13:04:11Z</cp:lastPrinted>
  <dcterms:created xsi:type="dcterms:W3CDTF">2015-06-05T18:17:20Z</dcterms:created>
  <dcterms:modified xsi:type="dcterms:W3CDTF">2025-11-06T13:56:20Z</dcterms:modified>
</cp:coreProperties>
</file>